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  <c r="C55" i="1"/>
  <c r="B55" i="1"/>
  <c r="D15" i="1" s="1"/>
  <c r="C25" i="1" l="1"/>
  <c r="C26" i="1"/>
  <c r="D7" i="1"/>
  <c r="C14" i="1"/>
  <c r="D12" i="1"/>
  <c r="D6" i="1"/>
  <c r="C34" i="1"/>
  <c r="C16" i="1"/>
  <c r="D37" i="1"/>
  <c r="C8" i="1"/>
  <c r="C35" i="1"/>
  <c r="D2" i="1"/>
  <c r="C54" i="1"/>
  <c r="D42" i="1"/>
  <c r="C53" i="1"/>
  <c r="D25" i="1"/>
  <c r="C20" i="1"/>
  <c r="C22" i="1"/>
  <c r="C51" i="1"/>
  <c r="D10" i="1"/>
  <c r="D29" i="1"/>
  <c r="C3" i="1"/>
  <c r="D20" i="1"/>
  <c r="C4" i="1"/>
  <c r="D19" i="1"/>
  <c r="C43" i="1"/>
  <c r="D40" i="1"/>
  <c r="C33" i="1"/>
  <c r="D49" i="1"/>
  <c r="C28" i="1"/>
  <c r="C48" i="1"/>
  <c r="D22" i="1"/>
  <c r="C11" i="1"/>
  <c r="D39" i="1"/>
  <c r="D26" i="1"/>
  <c r="C10" i="1"/>
  <c r="C30" i="1"/>
  <c r="C29" i="1"/>
  <c r="D14" i="1"/>
  <c r="D47" i="1"/>
  <c r="C13" i="1"/>
  <c r="D32" i="1"/>
  <c r="C27" i="1"/>
  <c r="C42" i="1"/>
  <c r="D45" i="1"/>
  <c r="D30" i="1"/>
  <c r="C39" i="1"/>
  <c r="D5" i="1"/>
  <c r="D13" i="1"/>
  <c r="C21" i="1"/>
  <c r="C47" i="1"/>
  <c r="C50" i="1"/>
  <c r="D24" i="1"/>
  <c r="C46" i="1"/>
  <c r="C17" i="1"/>
  <c r="D38" i="1"/>
  <c r="D41" i="1"/>
  <c r="C18" i="1"/>
  <c r="C36" i="1"/>
  <c r="D9" i="1"/>
  <c r="D52" i="1"/>
  <c r="C23" i="1"/>
  <c r="C32" i="1"/>
  <c r="D27" i="1"/>
  <c r="D51" i="1"/>
  <c r="C31" i="1"/>
  <c r="C44" i="1"/>
  <c r="C15" i="1"/>
  <c r="D3" i="1"/>
  <c r="C45" i="1"/>
  <c r="D21" i="1"/>
  <c r="D4" i="1"/>
  <c r="D50" i="1"/>
  <c r="C5" i="1"/>
  <c r="C7" i="1"/>
  <c r="D46" i="1"/>
  <c r="D34" i="1"/>
  <c r="D43" i="1"/>
  <c r="D17" i="1"/>
  <c r="D16" i="1"/>
  <c r="C12" i="1"/>
  <c r="C19" i="1"/>
  <c r="C24" i="1"/>
  <c r="C6" i="1"/>
  <c r="D8" i="1"/>
  <c r="D33" i="1"/>
  <c r="D18" i="1"/>
  <c r="D36" i="1"/>
  <c r="D35" i="1"/>
  <c r="C40" i="1"/>
  <c r="C38" i="1"/>
  <c r="C37" i="1"/>
  <c r="C41" i="1"/>
  <c r="D28" i="1"/>
  <c r="D23" i="1"/>
  <c r="D54" i="1"/>
  <c r="D48" i="1"/>
  <c r="C9" i="1"/>
  <c r="C49" i="1"/>
  <c r="C2" i="1"/>
  <c r="C52" i="1"/>
  <c r="D31" i="1"/>
  <c r="D11" i="1"/>
  <c r="D53" i="1"/>
  <c r="D44" i="1"/>
</calcChain>
</file>

<file path=xl/sharedStrings.xml><?xml version="1.0" encoding="utf-8"?>
<sst xmlns="http://schemas.openxmlformats.org/spreadsheetml/2006/main" count="60" uniqueCount="60">
  <si>
    <t>نام اداره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</si>
  <si>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</si>
  <si>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</si>
  <si>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</si>
  <si>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</si>
  <si>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</si>
  <si>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</si>
  <si>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</si>
  <si>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</si>
  <si>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</si>
  <si>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</si>
  <si>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</si>
  <si>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</si>
  <si>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</si>
  <si>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</si>
  <si>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</si>
  <si>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</si>
  <si>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</si>
  <si>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</si>
  <si>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</si>
  <si>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</si>
  <si>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</si>
  <si>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1668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</si>
  <si>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</si>
  <si>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</si>
  <si>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</si>
  <si>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</si>
  <si>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</si>
  <si>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</si>
  <si>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</si>
  <si>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</si>
  <si>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</si>
  <si>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</si>
  <si>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</si>
  <si>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</si>
  <si>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</si>
  <si>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</si>
  <si>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</si>
  <si>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</si>
  <si>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</si>
  <si>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</si>
  <si>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</si>
  <si>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</si>
  <si>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</si>
  <si>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</si>
  <si>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</si>
  <si>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</si>
  <si>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</si>
  <si>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</si>
  <si>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</si>
  <si>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</si>
  <si>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</si>
  <si>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</si>
  <si>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</si>
  <si>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مبلغ کل اضافه کار</t>
  </si>
  <si>
    <t>مبلغ کل رفاهی</t>
  </si>
  <si>
    <t>امتیاز</t>
  </si>
  <si>
    <t>سرانه اضافه کار</t>
  </si>
  <si>
    <t>سرانه رفاهی</t>
  </si>
  <si>
    <t>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</si>
</sst>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/>
    <xf numFmtId="0" fontId="0" fillId="0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rightToLeft="1" tabSelected="1" workbookViewId="0">
      <selection activeCell="D56" sqref="D56"/>
    </sheetView>
  </sheetViews>
  <sheetFormatPr defaultRowHeight="15" x14ac:dyDescent="0.25"/>
  <cols>
    <col min="1" max="1" width="11.28515625" bestFit="1" customWidth="1"/>
    <col min="3" max="3" width="13.85546875" style="3" bestFit="1" customWidth="1"/>
    <col min="4" max="4" width="14.85546875" style="3" bestFit="1" customWidth="1"/>
    <col min="7" max="7" width="17.85546875" bestFit="1" customWidth="1"/>
    <col min="8" max="8" width="14.85546875" style="3" bestFit="1" customWidth="1"/>
  </cols>
  <sheetData>
    <row r="1" spans="1:8" x14ac:dyDescent="0.25">
      <c r="A1" s="1" t="s">
        <v>0</v>
      </c>
      <c r="B1" s="2" t="s">
        <v>56</v>
      </c>
      <c r="C1" s="5" t="s">
        <v>57</v>
      </c>
      <c r="D1" s="5" t="s">
        <v>58</v>
      </c>
      <c r="G1" s="2" t="s">
        <v>54</v>
      </c>
      <c r="H1" s="5">
        <v>60000000000</v>
      </c>
    </row>
    <row r="2" spans="1:8" x14ac:dyDescent="0.25">
      <c r="A2" s="2" t="s">
        <v>21</v>
      </c>
      <c r="B2" s="2">
        <v>100</v>
      </c>
      <c r="C2" s="5">
        <f>(H$1/B$55)*B2</f>
        <v>1322459775.1818383</v>
      </c>
      <c r="D2" s="5">
        <f>(H$2/B$55)*B2</f>
        <v>9918448313.8637867</v>
      </c>
      <c r="G2" s="2" t="s">
        <v>55</v>
      </c>
      <c r="H2" s="5">
        <v>450000000000</v>
      </c>
    </row>
    <row r="3" spans="1:8" x14ac:dyDescent="0.25">
      <c r="A3" s="2" t="s">
        <v>19</v>
      </c>
      <c r="B3" s="2">
        <v>99</v>
      </c>
      <c r="C3" s="5">
        <f>(H$1/B$55)*B3</f>
        <v>1309235177.4300199</v>
      </c>
      <c r="D3" s="5">
        <f>(H$2/B$55)*B3</f>
        <v>9819263830.7251492</v>
      </c>
    </row>
    <row r="4" spans="1:8" x14ac:dyDescent="0.25">
      <c r="A4" s="2" t="s">
        <v>30</v>
      </c>
      <c r="B4" s="2">
        <v>99</v>
      </c>
      <c r="C4" s="5">
        <f>(H$1/B$55)*B4</f>
        <v>1309235177.4300199</v>
      </c>
      <c r="D4" s="5">
        <f>(H$2/B$55)*B4</f>
        <v>9819263830.7251492</v>
      </c>
    </row>
    <row r="5" spans="1:8" x14ac:dyDescent="0.25">
      <c r="A5" s="2" t="s">
        <v>48</v>
      </c>
      <c r="B5" s="2">
        <v>98</v>
      </c>
      <c r="C5" s="5">
        <f>(H$1/B$55)*B5</f>
        <v>1296010579.6782014</v>
      </c>
      <c r="D5" s="5">
        <f>(H$2/B$55)*B5</f>
        <v>9720079347.5865116</v>
      </c>
    </row>
    <row r="6" spans="1:8" x14ac:dyDescent="0.25">
      <c r="A6" s="2" t="s">
        <v>11</v>
      </c>
      <c r="B6" s="2">
        <v>97</v>
      </c>
      <c r="C6" s="5">
        <f>(H$1/B$55)*B6</f>
        <v>1282785981.9263833</v>
      </c>
      <c r="D6" s="5">
        <f>(H$2/B$55)*B6</f>
        <v>9620894864.4478741</v>
      </c>
    </row>
    <row r="7" spans="1:8" x14ac:dyDescent="0.25">
      <c r="A7" s="2" t="s">
        <v>12</v>
      </c>
      <c r="B7" s="2">
        <v>97</v>
      </c>
      <c r="C7" s="5">
        <f>(H$1/B$55)*B7</f>
        <v>1282785981.9263833</v>
      </c>
      <c r="D7" s="5">
        <f>(H$2/B$55)*B7</f>
        <v>9620894864.4478741</v>
      </c>
    </row>
    <row r="8" spans="1:8" x14ac:dyDescent="0.25">
      <c r="A8" s="2" t="s">
        <v>52</v>
      </c>
      <c r="B8" s="2">
        <v>97</v>
      </c>
      <c r="C8" s="5">
        <f>(H$1/B$55)*B8</f>
        <v>1282785981.9263833</v>
      </c>
      <c r="D8" s="5">
        <f>(H$2/B$55)*B8</f>
        <v>9620894864.4478741</v>
      </c>
    </row>
    <row r="9" spans="1:8" x14ac:dyDescent="0.25">
      <c r="A9" s="2" t="s">
        <v>45</v>
      </c>
      <c r="B9" s="2">
        <v>96</v>
      </c>
      <c r="C9" s="5">
        <f>(H$1/B$55)*B9</f>
        <v>1269561384.1745648</v>
      </c>
      <c r="D9" s="5">
        <f>(H$2/B$55)*B9</f>
        <v>9521710381.3092346</v>
      </c>
    </row>
    <row r="10" spans="1:8" x14ac:dyDescent="0.25">
      <c r="A10" s="2" t="s">
        <v>37</v>
      </c>
      <c r="B10" s="2">
        <v>95</v>
      </c>
      <c r="C10" s="5">
        <f>(H$1/B$55)*B10</f>
        <v>1256336786.4227464</v>
      </c>
      <c r="D10" s="5">
        <f>(H$2/B$55)*B10</f>
        <v>9422525898.1705971</v>
      </c>
    </row>
    <row r="11" spans="1:8" x14ac:dyDescent="0.25">
      <c r="A11" s="2" t="s">
        <v>38</v>
      </c>
      <c r="B11" s="2">
        <v>95</v>
      </c>
      <c r="C11" s="5">
        <f>(H$1/B$55)*B11</f>
        <v>1256336786.4227464</v>
      </c>
      <c r="D11" s="5">
        <f>(H$2/B$55)*B11</f>
        <v>9422525898.1705971</v>
      </c>
    </row>
    <row r="12" spans="1:8" x14ac:dyDescent="0.25">
      <c r="A12" s="2" t="s">
        <v>47</v>
      </c>
      <c r="B12" s="2">
        <v>95</v>
      </c>
      <c r="C12" s="5">
        <f>(H$1/B$55)*B12</f>
        <v>1256336786.4227464</v>
      </c>
      <c r="D12" s="5">
        <f>(H$2/B$55)*B12</f>
        <v>9422525898.1705971</v>
      </c>
    </row>
    <row r="13" spans="1:8" x14ac:dyDescent="0.25">
      <c r="A13" s="2" t="s">
        <v>24</v>
      </c>
      <c r="B13" s="2">
        <v>92</v>
      </c>
      <c r="C13" s="5">
        <f>(H$1/B$55)*B13</f>
        <v>1216662993.1672912</v>
      </c>
      <c r="D13" s="5">
        <f>(H$2/B$55)*B13</f>
        <v>9124972448.7546844</v>
      </c>
    </row>
    <row r="14" spans="1:8" x14ac:dyDescent="0.25">
      <c r="A14" s="2" t="s">
        <v>42</v>
      </c>
      <c r="B14" s="2">
        <v>92</v>
      </c>
      <c r="C14" s="5">
        <f>(H$1/B$55)*B14</f>
        <v>1216662993.1672912</v>
      </c>
      <c r="D14" s="5">
        <f>(H$2/B$55)*B14</f>
        <v>9124972448.7546844</v>
      </c>
    </row>
    <row r="15" spans="1:8" x14ac:dyDescent="0.25">
      <c r="A15" s="2" t="s">
        <v>2</v>
      </c>
      <c r="B15" s="2">
        <v>91</v>
      </c>
      <c r="C15" s="5">
        <f>(H$1/B$55)*B15</f>
        <v>1203438395.4154727</v>
      </c>
      <c r="D15" s="5">
        <f>(H$2/B$55)*B15</f>
        <v>9025787965.6160469</v>
      </c>
    </row>
    <row r="16" spans="1:8" x14ac:dyDescent="0.25">
      <c r="A16" s="2" t="s">
        <v>5</v>
      </c>
      <c r="B16" s="2">
        <v>91</v>
      </c>
      <c r="C16" s="5">
        <f>(H$1/B$55)*B16</f>
        <v>1203438395.4154727</v>
      </c>
      <c r="D16" s="5">
        <f>(H$2/B$55)*B16</f>
        <v>9025787965.6160469</v>
      </c>
    </row>
    <row r="17" spans="1:4" x14ac:dyDescent="0.25">
      <c r="A17" s="2" t="s">
        <v>17</v>
      </c>
      <c r="B17" s="2">
        <v>91</v>
      </c>
      <c r="C17" s="5">
        <f>(H$1/B$55)*B17</f>
        <v>1203438395.4154727</v>
      </c>
      <c r="D17" s="5">
        <f>(H$2/B$55)*B17</f>
        <v>9025787965.6160469</v>
      </c>
    </row>
    <row r="18" spans="1:4" x14ac:dyDescent="0.25">
      <c r="A18" s="2" t="s">
        <v>28</v>
      </c>
      <c r="B18" s="2">
        <v>91</v>
      </c>
      <c r="C18" s="5">
        <f>(H$1/B$55)*B18</f>
        <v>1203438395.4154727</v>
      </c>
      <c r="D18" s="5">
        <f>(H$2/B$55)*B18</f>
        <v>9025787965.6160469</v>
      </c>
    </row>
    <row r="19" spans="1:4" x14ac:dyDescent="0.25">
      <c r="A19" s="2" t="s">
        <v>35</v>
      </c>
      <c r="B19" s="2">
        <v>91</v>
      </c>
      <c r="C19" s="5">
        <f>(H$1/B$55)*B19</f>
        <v>1203438395.4154727</v>
      </c>
      <c r="D19" s="5">
        <f>(H$2/B$55)*B19</f>
        <v>9025787965.6160469</v>
      </c>
    </row>
    <row r="20" spans="1:4" x14ac:dyDescent="0.25">
      <c r="A20" s="2" t="s">
        <v>36</v>
      </c>
      <c r="B20" s="2">
        <v>91</v>
      </c>
      <c r="C20" s="5">
        <f>(H$1/B$55)*B20</f>
        <v>1203438395.4154727</v>
      </c>
      <c r="D20" s="5">
        <f>(H$2/B$55)*B20</f>
        <v>9025787965.6160469</v>
      </c>
    </row>
    <row r="21" spans="1:4" x14ac:dyDescent="0.25">
      <c r="A21" s="2" t="s">
        <v>1</v>
      </c>
      <c r="B21" s="2">
        <v>90</v>
      </c>
      <c r="C21" s="5">
        <f>(H$1/B$55)*B21</f>
        <v>1190213797.6636546</v>
      </c>
      <c r="D21" s="5">
        <f>(H$2/B$55)*B21</f>
        <v>8926603482.4774075</v>
      </c>
    </row>
    <row r="22" spans="1:4" x14ac:dyDescent="0.25">
      <c r="A22" s="2" t="s">
        <v>32</v>
      </c>
      <c r="B22" s="2">
        <v>90</v>
      </c>
      <c r="C22" s="5">
        <f>(H$1/B$55)*B22</f>
        <v>1190213797.6636546</v>
      </c>
      <c r="D22" s="5">
        <f>(H$2/B$55)*B22</f>
        <v>8926603482.4774075</v>
      </c>
    </row>
    <row r="23" spans="1:4" x14ac:dyDescent="0.25">
      <c r="A23" s="2" t="s">
        <v>39</v>
      </c>
      <c r="B23" s="2">
        <v>89</v>
      </c>
      <c r="C23" s="5">
        <f>(H$1/B$55)*B23</f>
        <v>1176989199.9118361</v>
      </c>
      <c r="D23" s="5">
        <f>(H$2/B$55)*B23</f>
        <v>8827418999.3387699</v>
      </c>
    </row>
    <row r="24" spans="1:4" x14ac:dyDescent="0.25">
      <c r="A24" s="2" t="s">
        <v>23</v>
      </c>
      <c r="B24" s="2">
        <v>87</v>
      </c>
      <c r="C24" s="5">
        <f>(H$1/B$55)*B24</f>
        <v>1150540004.4081993</v>
      </c>
      <c r="D24" s="5">
        <f>(H$2/B$55)*B24</f>
        <v>8629050033.0614948</v>
      </c>
    </row>
    <row r="25" spans="1:4" x14ac:dyDescent="0.25">
      <c r="A25" s="2" t="s">
        <v>31</v>
      </c>
      <c r="B25" s="2">
        <v>87</v>
      </c>
      <c r="C25" s="5">
        <f>(H$1/B$55)*B25</f>
        <v>1150540004.4081993</v>
      </c>
      <c r="D25" s="5">
        <f>(H$2/B$55)*B25</f>
        <v>8629050033.0614948</v>
      </c>
    </row>
    <row r="26" spans="1:4" x14ac:dyDescent="0.25">
      <c r="A26" s="2" t="s">
        <v>7</v>
      </c>
      <c r="B26" s="2">
        <v>85</v>
      </c>
      <c r="C26" s="5">
        <f>(H$1/B$55)*B26</f>
        <v>1124090808.9045625</v>
      </c>
      <c r="D26" s="5">
        <f>(H$2/B$55)*B26</f>
        <v>8430681066.7842188</v>
      </c>
    </row>
    <row r="27" spans="1:4" x14ac:dyDescent="0.25">
      <c r="A27" s="2" t="s">
        <v>44</v>
      </c>
      <c r="B27" s="2">
        <v>85</v>
      </c>
      <c r="C27" s="5">
        <f>(H$1/B$55)*B27</f>
        <v>1124090808.9045625</v>
      </c>
      <c r="D27" s="5">
        <f>(H$2/B$55)*B27</f>
        <v>8430681066.7842188</v>
      </c>
    </row>
    <row r="28" spans="1:4" x14ac:dyDescent="0.25">
      <c r="A28" s="2" t="s">
        <v>51</v>
      </c>
      <c r="B28" s="2">
        <v>85</v>
      </c>
      <c r="C28" s="5">
        <f>(H$1/B$55)*B28</f>
        <v>1124090808.9045625</v>
      </c>
      <c r="D28" s="5">
        <f>(H$2/B$55)*B28</f>
        <v>8430681066.7842188</v>
      </c>
    </row>
    <row r="29" spans="1:4" x14ac:dyDescent="0.25">
      <c r="A29" s="2" t="s">
        <v>13</v>
      </c>
      <c r="B29" s="2">
        <v>84</v>
      </c>
      <c r="C29" s="5">
        <f>(H$1/B$55)*B29</f>
        <v>1110866211.1527443</v>
      </c>
      <c r="D29" s="5">
        <f>(H$2/B$55)*B29</f>
        <v>8331496583.6455812</v>
      </c>
    </row>
    <row r="30" spans="1:4" x14ac:dyDescent="0.25">
      <c r="A30" s="2" t="s">
        <v>25</v>
      </c>
      <c r="B30" s="2">
        <v>84</v>
      </c>
      <c r="C30" s="5">
        <f>(H$1/B$55)*B30</f>
        <v>1110866211.1527443</v>
      </c>
      <c r="D30" s="5">
        <f>(H$2/B$55)*B30</f>
        <v>8331496583.6455812</v>
      </c>
    </row>
    <row r="31" spans="1:4" x14ac:dyDescent="0.25">
      <c r="A31" s="2" t="s">
        <v>50</v>
      </c>
      <c r="B31" s="2">
        <v>84</v>
      </c>
      <c r="C31" s="5">
        <f>(H$1/B$55)*B31</f>
        <v>1110866211.1527443</v>
      </c>
      <c r="D31" s="5">
        <f>(H$2/B$55)*B31</f>
        <v>8331496583.6455812</v>
      </c>
    </row>
    <row r="32" spans="1:4" x14ac:dyDescent="0.25">
      <c r="A32" s="2" t="s">
        <v>3</v>
      </c>
      <c r="B32" s="2">
        <v>83</v>
      </c>
      <c r="C32" s="5">
        <f>(H$1/B$55)*B32</f>
        <v>1097641613.4009259</v>
      </c>
      <c r="D32" s="5">
        <f>(H$2/B$55)*B32</f>
        <v>8232312100.5069437</v>
      </c>
    </row>
    <row r="33" spans="1:4" x14ac:dyDescent="0.25">
      <c r="A33" s="2" t="s">
        <v>40</v>
      </c>
      <c r="B33" s="2">
        <v>83</v>
      </c>
      <c r="C33" s="5">
        <f>(H$1/B$55)*B33</f>
        <v>1097641613.4009259</v>
      </c>
      <c r="D33" s="5">
        <f>(H$2/B$55)*B33</f>
        <v>8232312100.5069437</v>
      </c>
    </row>
    <row r="34" spans="1:4" x14ac:dyDescent="0.25">
      <c r="A34" s="2" t="s">
        <v>41</v>
      </c>
      <c r="B34" s="2">
        <v>82</v>
      </c>
      <c r="C34" s="5">
        <f>(H$1/B$55)*B34</f>
        <v>1084417015.6491075</v>
      </c>
      <c r="D34" s="5">
        <f>(H$2/B$55)*B34</f>
        <v>8133127617.3683052</v>
      </c>
    </row>
    <row r="35" spans="1:4" x14ac:dyDescent="0.25">
      <c r="A35" s="2" t="s">
        <v>4</v>
      </c>
      <c r="B35" s="2">
        <v>81</v>
      </c>
      <c r="C35" s="5">
        <f>(H$1/B$55)*B35</f>
        <v>1071192417.897289</v>
      </c>
      <c r="D35" s="5">
        <f>(H$2/B$55)*B35</f>
        <v>8033943134.2296677</v>
      </c>
    </row>
    <row r="36" spans="1:4" x14ac:dyDescent="0.25">
      <c r="A36" s="2" t="s">
        <v>16</v>
      </c>
      <c r="B36" s="2">
        <v>81</v>
      </c>
      <c r="C36" s="5">
        <f>(H$1/B$55)*B36</f>
        <v>1071192417.897289</v>
      </c>
      <c r="D36" s="5">
        <f>(H$2/B$55)*B36</f>
        <v>8033943134.2296677</v>
      </c>
    </row>
    <row r="37" spans="1:4" x14ac:dyDescent="0.25">
      <c r="A37" s="2" t="s">
        <v>22</v>
      </c>
      <c r="B37" s="2">
        <v>81</v>
      </c>
      <c r="C37" s="5">
        <f>(H$1/B$55)*B37</f>
        <v>1071192417.897289</v>
      </c>
      <c r="D37" s="5">
        <f>(H$2/B$55)*B37</f>
        <v>8033943134.2296677</v>
      </c>
    </row>
    <row r="38" spans="1:4" x14ac:dyDescent="0.25">
      <c r="A38" s="2" t="s">
        <v>34</v>
      </c>
      <c r="B38" s="2">
        <v>81</v>
      </c>
      <c r="C38" s="5">
        <f>(H$1/B$55)*B38</f>
        <v>1071192417.897289</v>
      </c>
      <c r="D38" s="5">
        <f>(H$2/B$55)*B38</f>
        <v>8033943134.2296677</v>
      </c>
    </row>
    <row r="39" spans="1:4" x14ac:dyDescent="0.25">
      <c r="A39" s="2" t="s">
        <v>43</v>
      </c>
      <c r="B39" s="2">
        <v>81</v>
      </c>
      <c r="C39" s="5">
        <f>(H$1/B$55)*B39</f>
        <v>1071192417.897289</v>
      </c>
      <c r="D39" s="5">
        <f>(H$2/B$55)*B39</f>
        <v>8033943134.2296677</v>
      </c>
    </row>
    <row r="40" spans="1:4" x14ac:dyDescent="0.25">
      <c r="A40" s="2" t="s">
        <v>46</v>
      </c>
      <c r="B40" s="2">
        <v>81</v>
      </c>
      <c r="C40" s="5">
        <f>(H$1/B$55)*B40</f>
        <v>1071192417.897289</v>
      </c>
      <c r="D40" s="5">
        <f>(H$2/B$55)*B40</f>
        <v>8033943134.2296677</v>
      </c>
    </row>
    <row r="41" spans="1:4" x14ac:dyDescent="0.25">
      <c r="A41" s="2" t="s">
        <v>10</v>
      </c>
      <c r="B41" s="2">
        <v>80</v>
      </c>
      <c r="C41" s="5">
        <f>(H$1/B$55)*B41</f>
        <v>1057967820.1454706</v>
      </c>
      <c r="D41" s="5">
        <f>(H$2/B$55)*B41</f>
        <v>7934758651.0910301</v>
      </c>
    </row>
    <row r="42" spans="1:4" x14ac:dyDescent="0.25">
      <c r="A42" s="2" t="s">
        <v>20</v>
      </c>
      <c r="B42" s="2">
        <v>80</v>
      </c>
      <c r="C42" s="5">
        <f>(H$1/B$55)*B42</f>
        <v>1057967820.1454706</v>
      </c>
      <c r="D42" s="5">
        <f>(H$2/B$55)*B42</f>
        <v>7934758651.0910301</v>
      </c>
    </row>
    <row r="43" spans="1:4" x14ac:dyDescent="0.25">
      <c r="A43" s="2" t="s">
        <v>29</v>
      </c>
      <c r="B43" s="2">
        <v>80</v>
      </c>
      <c r="C43" s="5">
        <f>(H$1/B$55)*B43</f>
        <v>1057967820.1454706</v>
      </c>
      <c r="D43" s="5">
        <f>(H$2/B$55)*B43</f>
        <v>7934758651.0910301</v>
      </c>
    </row>
    <row r="44" spans="1:4" x14ac:dyDescent="0.25">
      <c r="A44" s="2" t="s">
        <v>14</v>
      </c>
      <c r="B44" s="2">
        <v>78</v>
      </c>
      <c r="C44" s="5">
        <f>(H$1/B$55)*B44</f>
        <v>1031518624.6418339</v>
      </c>
      <c r="D44" s="5">
        <f>(H$2/B$55)*B44</f>
        <v>7736389684.8137541</v>
      </c>
    </row>
    <row r="45" spans="1:4" x14ac:dyDescent="0.25">
      <c r="A45" s="2" t="s">
        <v>49</v>
      </c>
      <c r="B45" s="2">
        <v>78</v>
      </c>
      <c r="C45" s="5">
        <f>(H$1/B$55)*B45</f>
        <v>1031518624.6418339</v>
      </c>
      <c r="D45" s="5">
        <f>(H$2/B$55)*B45</f>
        <v>7736389684.8137541</v>
      </c>
    </row>
    <row r="46" spans="1:4" x14ac:dyDescent="0.25">
      <c r="A46" s="2" t="s">
        <v>53</v>
      </c>
      <c r="B46" s="2">
        <v>77</v>
      </c>
      <c r="C46" s="5">
        <f>(H$1/B$55)*B46</f>
        <v>1018294026.8900155</v>
      </c>
      <c r="D46" s="5">
        <f>(H$2/B$55)*B46</f>
        <v>7637205201.6751156</v>
      </c>
    </row>
    <row r="47" spans="1:4" x14ac:dyDescent="0.25">
      <c r="A47" s="2" t="s">
        <v>18</v>
      </c>
      <c r="B47" s="2">
        <v>75</v>
      </c>
      <c r="C47" s="5">
        <f>(H$1/B$55)*B47</f>
        <v>991844831.38637877</v>
      </c>
      <c r="D47" s="5">
        <f>(H$2/B$55)*B47</f>
        <v>7438836235.3978405</v>
      </c>
    </row>
    <row r="48" spans="1:4" x14ac:dyDescent="0.25">
      <c r="A48" s="2" t="s">
        <v>15</v>
      </c>
      <c r="B48" s="2">
        <v>74</v>
      </c>
      <c r="C48" s="5">
        <f>(H$1/B$55)*B48</f>
        <v>978620233.63456035</v>
      </c>
      <c r="D48" s="5">
        <f>(H$2/B$55)*B48</f>
        <v>7339651752.259202</v>
      </c>
    </row>
    <row r="49" spans="1:4" x14ac:dyDescent="0.25">
      <c r="A49" s="2" t="s">
        <v>33</v>
      </c>
      <c r="B49" s="2">
        <v>73</v>
      </c>
      <c r="C49" s="5">
        <f>(H$1/B$55)*B49</f>
        <v>965395635.88274193</v>
      </c>
      <c r="D49" s="5">
        <f>(H$2/B$55)*B49</f>
        <v>7240467269.1205645</v>
      </c>
    </row>
    <row r="50" spans="1:4" x14ac:dyDescent="0.25">
      <c r="A50" s="2" t="s">
        <v>6</v>
      </c>
      <c r="B50" s="2">
        <v>72</v>
      </c>
      <c r="C50" s="5">
        <f>(H$1/B$55)*B50</f>
        <v>952171038.13092363</v>
      </c>
      <c r="D50" s="5">
        <f>(H$2/B$55)*B50</f>
        <v>7141282785.9819269</v>
      </c>
    </row>
    <row r="51" spans="1:4" x14ac:dyDescent="0.25">
      <c r="A51" s="2" t="s">
        <v>8</v>
      </c>
      <c r="B51" s="2">
        <v>72</v>
      </c>
      <c r="C51" s="5">
        <f>(H$1/B$55)*B51</f>
        <v>952171038.13092363</v>
      </c>
      <c r="D51" s="5">
        <f>(H$2/B$55)*B51</f>
        <v>7141282785.9819269</v>
      </c>
    </row>
    <row r="52" spans="1:4" x14ac:dyDescent="0.25">
      <c r="A52" s="2" t="s">
        <v>9</v>
      </c>
      <c r="B52" s="2">
        <v>72</v>
      </c>
      <c r="C52" s="5">
        <f>(H$1/B$55)*B52</f>
        <v>952171038.13092363</v>
      </c>
      <c r="D52" s="5">
        <f>(H$2/B$55)*B52</f>
        <v>7141282785.9819269</v>
      </c>
    </row>
    <row r="53" spans="1:4" x14ac:dyDescent="0.25">
      <c r="A53" s="2" t="s">
        <v>26</v>
      </c>
      <c r="B53" s="2">
        <v>72</v>
      </c>
      <c r="C53" s="5">
        <f>(H$1/B$55)*B53</f>
        <v>952171038.13092363</v>
      </c>
      <c r="D53" s="5">
        <f>(H$2/B$55)*B53</f>
        <v>7141282785.9819269</v>
      </c>
    </row>
    <row r="54" spans="1:4" x14ac:dyDescent="0.25">
      <c r="A54" s="2" t="s">
        <v>27</v>
      </c>
      <c r="B54" s="2">
        <v>72</v>
      </c>
      <c r="C54" s="5">
        <f>(H$1/B$55)*B54</f>
        <v>952171038.13092363</v>
      </c>
      <c r="D54" s="5">
        <f>(H$2/B$55)*B54</f>
        <v>7141282785.9819269</v>
      </c>
    </row>
    <row r="55" spans="1:4" x14ac:dyDescent="0.25">
      <c r="A55" s="4" t="s">
        <v>59</v>
      </c>
      <c r="B55" s="2">
        <f>SUM(B2:B54)</f>
        <v>4537</v>
      </c>
      <c r="C55" s="5">
        <f>SUM(C2:C54)</f>
        <v>59999999999.999954</v>
      </c>
      <c r="D55" s="5">
        <f>SUM(D2:D54)</f>
        <v>450000000000.00006</v>
      </c>
    </row>
  </sheetData>
  <sortState ref="A2:D54">
    <sortCondition descending="1" ref="B2:B54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2024-04-22T09:43:56Z</dcterms:modified>
</cp:coreProperties>
</file>