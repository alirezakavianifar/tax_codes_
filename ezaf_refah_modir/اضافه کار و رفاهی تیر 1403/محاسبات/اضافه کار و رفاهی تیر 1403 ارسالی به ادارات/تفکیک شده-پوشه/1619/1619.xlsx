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E12C9E20-1BC8-4A49-91E0-7F9A40D3A5C9}" xr6:coauthVersionLast="47" xr6:coauthVersionMax="47" xr10:uidLastSave="{00000000-0000-0000-0000-000000000000}"/>
  <bookViews>
    <workbookView xWindow="-120" yWindow="-120" windowWidth="29040" windowHeight="15840" xr2:uid="{7D74A97E-D9A1-4901-8A4C-8499F2359D2C}"/>
  </bookViews>
  <sheets>
    <sheet name="16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" l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21" i="1" s="1"/>
  <c r="H3" i="1"/>
  <c r="H21" i="1" s="1"/>
</calcChain>
</file>

<file path=xl/sharedStrings.xml><?xml version="1.0" encoding="utf-8"?>
<sst xmlns="http://schemas.openxmlformats.org/spreadsheetml/2006/main" count="30" uniqueCount="30">
  <si>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</si>
  <si>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</si>
  <si>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</si>
  <si>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</si>
  <si>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</si>
  <si>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</si>
  <si>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</si>
  <si>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</si>
  <si>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</si>
  <si>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</si>
  <si>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احمد محمدي رضا</t>
  </si>
  <si>
    <t>احمدي آمنه</t>
  </si>
  <si>
    <t>برزگر شليمکي زهرا</t>
  </si>
  <si>
    <t>بندريان اميرعلي</t>
  </si>
  <si>
    <t>کل مبلغ قابل توزیع اضافه کار</t>
  </si>
  <si>
    <t>بهوندپور اکبر</t>
  </si>
  <si>
    <t>کل مبلغ قابل توزیع رفاهی</t>
  </si>
  <si>
    <t>بيت سياح وفا</t>
  </si>
  <si>
    <t>خبازيان سينا</t>
  </si>
  <si>
    <t>دشت بزرگ شيرين</t>
  </si>
  <si>
    <t>دهداري آرش</t>
  </si>
  <si>
    <t>رستم پور مهدي</t>
  </si>
  <si>
    <t>سياحي صادق</t>
  </si>
  <si>
    <t>طلاوري محمدحسن</t>
  </si>
  <si>
    <t>فتاحي ايمان</t>
  </si>
  <si>
    <t>منصور محمدعلي</t>
  </si>
  <si>
    <t>موسوي سيدجلال</t>
  </si>
  <si>
    <t>موسي زاده سيدعباس</t>
  </si>
  <si>
    <t>نعمتي پور نويد</t>
  </si>
  <si>
    <t>هشيار مارال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</si>
</sst>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A197-4AD0-4F1D-87BB-3051CECD6A28}">
  <dimension ref="A1:K21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>
        <v>1619</v>
      </c>
      <c r="B3" s="5">
        <v>101732</v>
      </c>
      <c r="C3" s="5" t="s">
        <v>10</v>
      </c>
      <c r="D3" s="6">
        <v>383500</v>
      </c>
      <c r="E3" s="6">
        <v>67496027</v>
      </c>
      <c r="F3" s="8"/>
      <c r="G3" s="8"/>
      <c r="H3" s="6">
        <f t="shared" ref="H3:H20" si="0">F3*D3</f>
        <v>0</v>
      </c>
      <c r="I3" s="6">
        <f t="shared" ref="I3:I20" si="1">(G3*E3)/100</f>
        <v>0</v>
      </c>
    </row>
    <row r="4" spans="1:11" x14ac:dyDescent="0.2">
      <c r="A4" s="4">
        <v>1619</v>
      </c>
      <c r="B4" s="5">
        <v>101467</v>
      </c>
      <c r="C4" s="5" t="s">
        <v>11</v>
      </c>
      <c r="D4" s="6">
        <v>430650</v>
      </c>
      <c r="E4" s="6">
        <v>75794557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>
        <v>1619</v>
      </c>
      <c r="B5" s="5">
        <v>101945</v>
      </c>
      <c r="C5" s="5" t="s">
        <v>12</v>
      </c>
      <c r="D5" s="6">
        <v>226359</v>
      </c>
      <c r="E5" s="6">
        <v>39839250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>
        <v>1619</v>
      </c>
      <c r="B6" s="5">
        <v>101537</v>
      </c>
      <c r="C6" s="5" t="s">
        <v>13</v>
      </c>
      <c r="D6" s="6">
        <v>407060</v>
      </c>
      <c r="E6" s="6">
        <v>71642573</v>
      </c>
      <c r="F6" s="8"/>
      <c r="G6" s="8"/>
      <c r="H6" s="6">
        <f t="shared" si="0"/>
        <v>0</v>
      </c>
      <c r="I6" s="9">
        <f t="shared" si="1"/>
        <v>0</v>
      </c>
      <c r="J6" s="10" t="s">
        <v>14</v>
      </c>
      <c r="K6" s="11">
        <v>784750680</v>
      </c>
    </row>
    <row r="7" spans="1:11" ht="22.5" x14ac:dyDescent="0.6">
      <c r="A7" s="4">
        <v>1619</v>
      </c>
      <c r="B7" s="5">
        <v>101388</v>
      </c>
      <c r="C7" s="5" t="s">
        <v>15</v>
      </c>
      <c r="D7" s="6">
        <v>432305</v>
      </c>
      <c r="E7" s="6">
        <v>76085695</v>
      </c>
      <c r="F7" s="8"/>
      <c r="G7" s="8"/>
      <c r="H7" s="6">
        <f t="shared" si="0"/>
        <v>0</v>
      </c>
      <c r="I7" s="9">
        <f t="shared" si="1"/>
        <v>0</v>
      </c>
      <c r="J7" s="10" t="s">
        <v>16</v>
      </c>
      <c r="K7" s="11">
        <v>894467250</v>
      </c>
    </row>
    <row r="8" spans="1:11" x14ac:dyDescent="0.2">
      <c r="A8" s="4">
        <v>1619</v>
      </c>
      <c r="B8" s="5">
        <v>100931</v>
      </c>
      <c r="C8" s="5" t="s">
        <v>17</v>
      </c>
      <c r="D8" s="6">
        <v>427860</v>
      </c>
      <c r="E8" s="6">
        <v>75303426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>
        <v>1619</v>
      </c>
      <c r="B9" s="5">
        <v>101260</v>
      </c>
      <c r="C9" s="5" t="s">
        <v>18</v>
      </c>
      <c r="D9" s="6">
        <v>442434</v>
      </c>
      <c r="E9" s="6">
        <v>77868385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>
        <v>1619</v>
      </c>
      <c r="B10" s="5">
        <v>100828</v>
      </c>
      <c r="C10" s="5" t="s">
        <v>19</v>
      </c>
      <c r="D10" s="6">
        <v>451953</v>
      </c>
      <c r="E10" s="6">
        <v>79543858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>
        <v>1619</v>
      </c>
      <c r="B11" s="5">
        <v>100460</v>
      </c>
      <c r="C11" s="5" t="s">
        <v>20</v>
      </c>
      <c r="D11" s="6">
        <v>510707</v>
      </c>
      <c r="E11" s="6">
        <v>89884603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>
        <v>1619</v>
      </c>
      <c r="B12" s="5">
        <v>101540</v>
      </c>
      <c r="C12" s="5" t="s">
        <v>21</v>
      </c>
      <c r="D12" s="6">
        <v>403153</v>
      </c>
      <c r="E12" s="6">
        <v>70955002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>
        <v>1619</v>
      </c>
      <c r="B13" s="5">
        <v>100853</v>
      </c>
      <c r="C13" s="5" t="s">
        <v>22</v>
      </c>
      <c r="D13" s="6">
        <v>513359</v>
      </c>
      <c r="E13" s="6">
        <v>90351196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>
        <v>1619</v>
      </c>
      <c r="B14" s="5">
        <v>101803</v>
      </c>
      <c r="C14" s="5" t="s">
        <v>23</v>
      </c>
      <c r="D14" s="6">
        <v>325833</v>
      </c>
      <c r="E14" s="6">
        <v>57346628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>
        <v>1619</v>
      </c>
      <c r="B15" s="5">
        <v>101539</v>
      </c>
      <c r="C15" s="5" t="s">
        <v>24</v>
      </c>
      <c r="D15" s="6">
        <v>407077</v>
      </c>
      <c r="E15" s="6">
        <v>71645621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>
        <v>1619</v>
      </c>
      <c r="B16" s="5">
        <v>101215</v>
      </c>
      <c r="C16" s="5" t="s">
        <v>25</v>
      </c>
      <c r="D16" s="6">
        <v>420806</v>
      </c>
      <c r="E16" s="6">
        <v>74061974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>
        <v>1619</v>
      </c>
      <c r="B17" s="5">
        <v>100238</v>
      </c>
      <c r="C17" s="5" t="s">
        <v>26</v>
      </c>
      <c r="D17" s="6">
        <v>538460</v>
      </c>
      <c r="E17" s="6">
        <v>94769125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>
        <v>1619</v>
      </c>
      <c r="B18" s="5">
        <v>100781</v>
      </c>
      <c r="C18" s="5" t="s">
        <v>27</v>
      </c>
      <c r="D18" s="6">
        <v>483664</v>
      </c>
      <c r="E18" s="6">
        <v>85124928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>
        <v>1619</v>
      </c>
      <c r="B19" s="5">
        <v>101218</v>
      </c>
      <c r="C19" s="5" t="s">
        <v>28</v>
      </c>
      <c r="D19" s="6">
        <v>413468</v>
      </c>
      <c r="E19" s="6">
        <v>72770467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>
        <v>1619</v>
      </c>
      <c r="B20" s="5">
        <v>101954</v>
      </c>
      <c r="C20" s="5" t="s">
        <v>29</v>
      </c>
      <c r="D20" s="6">
        <v>255168</v>
      </c>
      <c r="E20" s="6">
        <v>44909700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H21" s="3">
        <f t="shared" ref="H21:I21" si="2">SUM(H3:H20)</f>
        <v>0</v>
      </c>
      <c r="I21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2024-07-29T07:17:59Z</dcterms:created>
  <dcterms:modified xsi:type="dcterms:W3CDTF">2024-07-29T07:17:59Z</dcterms:modified>
</cp:coreProperties>
</file>