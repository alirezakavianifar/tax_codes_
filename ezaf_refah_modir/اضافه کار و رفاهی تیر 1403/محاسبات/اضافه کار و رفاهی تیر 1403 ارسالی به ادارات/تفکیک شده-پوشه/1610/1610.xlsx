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5D5C535D-F227-4132-9700-722C44F0D368}" xr6:coauthVersionLast="47" xr6:coauthVersionMax="47" xr10:uidLastSave="{00000000-0000-0000-0000-000000000000}"/>
  <bookViews>
    <workbookView xWindow="-120" yWindow="-120" windowWidth="29040" windowHeight="15840" xr2:uid="{332D82C4-3B36-452C-8A94-0EDE86EF1305}"/>
  </bookViews>
  <sheets>
    <sheet name="16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" l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31" i="1" s="1"/>
  <c r="H3" i="1"/>
  <c r="H31" i="1" s="1"/>
</calcChain>
</file>

<file path=xl/sharedStrings.xml><?xml version="1.0" encoding="utf-8"?>
<sst xmlns="http://schemas.openxmlformats.org/spreadsheetml/2006/main" count="40" uniqueCount="40">
  <si>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</si>
  <si>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</si>
  <si>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</si>
  <si>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</si>
  <si>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</si>
  <si>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</si>
  <si>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</si>
  <si>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</si>
  <si>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</si>
  <si>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</si>
  <si>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ابراهيمي فرج آبادي بهروز</t>
  </si>
  <si>
    <t>احمدزاده پروانه</t>
  </si>
  <si>
    <t>احمدي کيا ايرج</t>
  </si>
  <si>
    <t>اسدي نژادي حسين</t>
  </si>
  <si>
    <t>کل مبلغ قابل توزیع اضافه کار</t>
  </si>
  <si>
    <t>افراسيابي مهرداد</t>
  </si>
  <si>
    <t>کل مبلغ قابل توزیع رفاهی</t>
  </si>
  <si>
    <t>تيموري حبيب اله</t>
  </si>
  <si>
    <t>جهانبخشي سحر</t>
  </si>
  <si>
    <t>چکاو حاتم</t>
  </si>
  <si>
    <t>چنگيزي مريم</t>
  </si>
  <si>
    <t>دورقي سجاد</t>
  </si>
  <si>
    <t>دورقي عباس</t>
  </si>
  <si>
    <t>رضائيان مائده</t>
  </si>
  <si>
    <t>سلطاني آزاده</t>
  </si>
  <si>
    <t>سليماني اصل هدا</t>
  </si>
  <si>
    <t>شکوهمند مريم</t>
  </si>
  <si>
    <t>طيبي سهيل</t>
  </si>
  <si>
    <t>طيبي فاطمه</t>
  </si>
  <si>
    <t>عزيزي سميه</t>
  </si>
  <si>
    <t>عفري حميد</t>
  </si>
  <si>
    <t>فراهاني سميرا</t>
  </si>
  <si>
    <t>فيليان ميثم</t>
  </si>
  <si>
    <t>گودرزي محمد</t>
  </si>
  <si>
    <t>ملائي سعيد</t>
  </si>
  <si>
    <t>ملک محمدي رضا</t>
  </si>
  <si>
    <t>مهدي پور فريده</t>
  </si>
  <si>
    <t>نوري سميه</t>
  </si>
  <si>
    <t>هادي زاده فرزاد</t>
  </si>
  <si>
    <t>هشيار سيمين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</si>
</sst>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3C4DD-E1BC-490B-8A8B-68F3ADB694E0}">
  <dimension ref="A1:K31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1610</v>
      </c>
      <c r="B3" s="5">
        <v>100356</v>
      </c>
      <c r="C3" s="5" t="s">
        <v>10</v>
      </c>
      <c r="D3" s="6">
        <v>454963</v>
      </c>
      <c r="E3" s="6">
        <v>80073545</v>
      </c>
      <c r="F3" s="8"/>
      <c r="G3" s="8"/>
      <c r="H3" s="6">
        <f t="shared" ref="H3:H30" si="0">F3*D3</f>
        <v>0</v>
      </c>
      <c r="I3" s="6">
        <f t="shared" ref="I3:I30" si="1">(G3*E3)/100</f>
        <v>0</v>
      </c>
    </row>
    <row r="4" spans="1:11" x14ac:dyDescent="0.2">
      <c r="A4" s="4">
        <v>1610</v>
      </c>
      <c r="B4" s="5">
        <v>100741</v>
      </c>
      <c r="C4" s="5" t="s">
        <v>11</v>
      </c>
      <c r="D4" s="6">
        <v>515253</v>
      </c>
      <c r="E4" s="6">
        <v>90684600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1610</v>
      </c>
      <c r="B5" s="5">
        <v>100458</v>
      </c>
      <c r="C5" s="5" t="s">
        <v>12</v>
      </c>
      <c r="D5" s="6">
        <v>511712</v>
      </c>
      <c r="E5" s="6">
        <v>90061387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1610</v>
      </c>
      <c r="B6" s="5">
        <v>101397</v>
      </c>
      <c r="C6" s="5" t="s">
        <v>13</v>
      </c>
      <c r="D6" s="6">
        <v>407683</v>
      </c>
      <c r="E6" s="6">
        <v>71752301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1073540090</v>
      </c>
    </row>
    <row r="7" spans="1:11" ht="22.5" x14ac:dyDescent="0.6">
      <c r="A7" s="4">
        <v>1610</v>
      </c>
      <c r="B7" s="5">
        <v>100913</v>
      </c>
      <c r="C7" s="5" t="s">
        <v>15</v>
      </c>
      <c r="D7" s="6">
        <v>483116</v>
      </c>
      <c r="E7" s="6">
        <v>85028479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1287156406</v>
      </c>
    </row>
    <row r="8" spans="1:11" x14ac:dyDescent="0.2">
      <c r="A8" s="4">
        <v>1610</v>
      </c>
      <c r="B8" s="5">
        <v>101767</v>
      </c>
      <c r="C8" s="5" t="s">
        <v>17</v>
      </c>
      <c r="D8" s="6">
        <v>334929</v>
      </c>
      <c r="E8" s="6">
        <v>58947603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1610</v>
      </c>
      <c r="B9" s="5">
        <v>100938</v>
      </c>
      <c r="C9" s="5" t="s">
        <v>18</v>
      </c>
      <c r="D9" s="6">
        <v>319482</v>
      </c>
      <c r="E9" s="6">
        <v>56228876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1610</v>
      </c>
      <c r="B10" s="5">
        <v>100488</v>
      </c>
      <c r="C10" s="5" t="s">
        <v>19</v>
      </c>
      <c r="D10" s="6">
        <v>552865</v>
      </c>
      <c r="E10" s="6">
        <v>97304350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1610</v>
      </c>
      <c r="B11" s="5">
        <v>101920</v>
      </c>
      <c r="C11" s="5" t="s">
        <v>20</v>
      </c>
      <c r="D11" s="6">
        <v>226359</v>
      </c>
      <c r="E11" s="6">
        <v>39839250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1610</v>
      </c>
      <c r="B12" s="5">
        <v>101871</v>
      </c>
      <c r="C12" s="5" t="s">
        <v>21</v>
      </c>
      <c r="D12" s="6">
        <v>255168</v>
      </c>
      <c r="E12" s="6">
        <v>44909700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1610</v>
      </c>
      <c r="B13" s="5">
        <v>100876</v>
      </c>
      <c r="C13" s="5" t="s">
        <v>22</v>
      </c>
      <c r="D13" s="6">
        <v>415857</v>
      </c>
      <c r="E13" s="6">
        <v>73190950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1610</v>
      </c>
      <c r="B14" s="5">
        <v>101224</v>
      </c>
      <c r="C14" s="5" t="s">
        <v>23</v>
      </c>
      <c r="D14" s="6">
        <v>443416</v>
      </c>
      <c r="E14" s="6">
        <v>78041309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>
        <v>1610</v>
      </c>
      <c r="B15" s="5">
        <v>101401</v>
      </c>
      <c r="C15" s="5" t="s">
        <v>24</v>
      </c>
      <c r="D15" s="6">
        <v>401280</v>
      </c>
      <c r="E15" s="6">
        <v>70625363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>
        <v>1610</v>
      </c>
      <c r="B16" s="5">
        <v>101156</v>
      </c>
      <c r="C16" s="5" t="s">
        <v>25</v>
      </c>
      <c r="D16" s="6">
        <v>441429</v>
      </c>
      <c r="E16" s="6">
        <v>77691637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>
        <v>1610</v>
      </c>
      <c r="B17" s="5">
        <v>101878</v>
      </c>
      <c r="C17" s="5" t="s">
        <v>26</v>
      </c>
      <c r="D17" s="6">
        <v>226359</v>
      </c>
      <c r="E17" s="6">
        <v>39839250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>
        <v>1610</v>
      </c>
      <c r="B18" s="5">
        <v>101389</v>
      </c>
      <c r="C18" s="5" t="s">
        <v>27</v>
      </c>
      <c r="D18" s="6">
        <v>442667</v>
      </c>
      <c r="E18" s="6">
        <v>77909551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>
        <v>1610</v>
      </c>
      <c r="B19" s="5">
        <v>101452</v>
      </c>
      <c r="C19" s="5" t="s">
        <v>28</v>
      </c>
      <c r="D19" s="6">
        <v>397574</v>
      </c>
      <c r="E19" s="6">
        <v>69973065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>
        <v>1610</v>
      </c>
      <c r="B20" s="5">
        <v>101442</v>
      </c>
      <c r="C20" s="5" t="s">
        <v>29</v>
      </c>
      <c r="D20" s="6">
        <v>428447</v>
      </c>
      <c r="E20" s="6">
        <v>75406826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>
        <v>1610</v>
      </c>
      <c r="B21" s="5">
        <v>100569</v>
      </c>
      <c r="C21" s="5" t="s">
        <v>30</v>
      </c>
      <c r="D21" s="6">
        <v>499628</v>
      </c>
      <c r="E21" s="6">
        <v>87934594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>
        <v>1610</v>
      </c>
      <c r="B22" s="5">
        <v>101729</v>
      </c>
      <c r="C22" s="5" t="s">
        <v>31</v>
      </c>
      <c r="D22" s="6">
        <v>423531</v>
      </c>
      <c r="E22" s="6">
        <v>74541538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>
        <v>1610</v>
      </c>
      <c r="B23" s="5">
        <v>101781</v>
      </c>
      <c r="C23" s="5" t="s">
        <v>32</v>
      </c>
      <c r="D23" s="6">
        <v>264360</v>
      </c>
      <c r="E23" s="6">
        <v>46527415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>
        <v>1610</v>
      </c>
      <c r="B24" s="5">
        <v>101789</v>
      </c>
      <c r="C24" s="5" t="s">
        <v>33</v>
      </c>
      <c r="D24" s="6">
        <v>234426</v>
      </c>
      <c r="E24" s="6">
        <v>41258976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>
        <v>1610</v>
      </c>
      <c r="B25" s="5">
        <v>100551</v>
      </c>
      <c r="C25" s="5" t="s">
        <v>34</v>
      </c>
      <c r="D25" s="6">
        <v>465782</v>
      </c>
      <c r="E25" s="6">
        <v>81977664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>
        <v>1610</v>
      </c>
      <c r="B26" s="5">
        <v>101057</v>
      </c>
      <c r="C26" s="5" t="s">
        <v>35</v>
      </c>
      <c r="D26" s="6">
        <v>456237</v>
      </c>
      <c r="E26" s="6">
        <v>71661840</v>
      </c>
      <c r="F26" s="8"/>
      <c r="G26" s="8"/>
      <c r="H26" s="6">
        <f t="shared" si="0"/>
        <v>0</v>
      </c>
      <c r="I26" s="6">
        <f t="shared" si="1"/>
        <v>0</v>
      </c>
    </row>
    <row r="27" spans="1:9" x14ac:dyDescent="0.2">
      <c r="A27" s="4">
        <v>1610</v>
      </c>
      <c r="B27" s="5">
        <v>101059</v>
      </c>
      <c r="C27" s="5" t="s">
        <v>36</v>
      </c>
      <c r="D27" s="6">
        <v>455940</v>
      </c>
      <c r="E27" s="6">
        <v>80245448</v>
      </c>
      <c r="F27" s="8"/>
      <c r="G27" s="8"/>
      <c r="H27" s="6">
        <f t="shared" si="0"/>
        <v>0</v>
      </c>
      <c r="I27" s="6">
        <f t="shared" si="1"/>
        <v>0</v>
      </c>
    </row>
    <row r="28" spans="1:9" x14ac:dyDescent="0.2">
      <c r="A28" s="4">
        <v>1610</v>
      </c>
      <c r="B28" s="5">
        <v>160531</v>
      </c>
      <c r="C28" s="5" t="s">
        <v>37</v>
      </c>
      <c r="D28" s="6">
        <v>439829</v>
      </c>
      <c r="E28" s="6">
        <v>77409977</v>
      </c>
      <c r="F28" s="8"/>
      <c r="G28" s="8"/>
      <c r="H28" s="6">
        <f t="shared" si="0"/>
        <v>0</v>
      </c>
      <c r="I28" s="6">
        <f t="shared" si="1"/>
        <v>0</v>
      </c>
    </row>
    <row r="29" spans="1:9" x14ac:dyDescent="0.2">
      <c r="A29" s="4">
        <v>1610</v>
      </c>
      <c r="B29" s="5">
        <v>100606</v>
      </c>
      <c r="C29" s="5" t="s">
        <v>38</v>
      </c>
      <c r="D29" s="6">
        <v>464238</v>
      </c>
      <c r="E29" s="6">
        <v>81705996</v>
      </c>
      <c r="F29" s="8"/>
      <c r="G29" s="8"/>
      <c r="H29" s="6">
        <f t="shared" si="0"/>
        <v>0</v>
      </c>
      <c r="I29" s="6">
        <f t="shared" si="1"/>
        <v>0</v>
      </c>
    </row>
    <row r="30" spans="1:9" x14ac:dyDescent="0.2">
      <c r="A30" s="4">
        <v>1610</v>
      </c>
      <c r="B30" s="5">
        <v>101753</v>
      </c>
      <c r="C30" s="5" t="s">
        <v>39</v>
      </c>
      <c r="D30" s="6">
        <v>337892</v>
      </c>
      <c r="E30" s="6">
        <v>59469135</v>
      </c>
      <c r="F30" s="8"/>
      <c r="G30" s="8"/>
      <c r="H30" s="6">
        <f t="shared" si="0"/>
        <v>0</v>
      </c>
      <c r="I30" s="6">
        <f t="shared" si="1"/>
        <v>0</v>
      </c>
    </row>
    <row r="31" spans="1:9" x14ac:dyDescent="0.2">
      <c r="H31" s="3">
        <f t="shared" ref="H31:I31" si="2">SUM(H3:H30)</f>
        <v>0</v>
      </c>
      <c r="I31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2024-07-29T07:17:53Z</dcterms:created>
  <dcterms:modified xsi:type="dcterms:W3CDTF">2024-07-29T07:17:54Z</dcterms:modified>
</cp:coreProperties>
</file>