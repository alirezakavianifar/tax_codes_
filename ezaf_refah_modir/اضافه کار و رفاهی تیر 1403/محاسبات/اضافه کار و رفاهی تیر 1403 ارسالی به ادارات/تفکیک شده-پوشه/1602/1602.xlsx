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D274E58-9F54-497C-B771-7DBE815DEBD5}" xr6:coauthVersionLast="47" xr6:coauthVersionMax="47" xr10:uidLastSave="{00000000-0000-0000-0000-000000000000}"/>
  <bookViews>
    <workbookView xWindow="-120" yWindow="-120" windowWidth="29040" windowHeight="15840" xr2:uid="{9B9319AB-F612-43D4-90E4-1005BA070A67}"/>
  </bookViews>
  <sheets>
    <sheet name="16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9" i="1" s="1"/>
  <c r="H3" i="1"/>
  <c r="H29" i="1" s="1"/>
</calcChain>
</file>

<file path=xl/sharedStrings.xml><?xml version="1.0" encoding="utf-8"?>
<sst xmlns="http://schemas.openxmlformats.org/spreadsheetml/2006/main" count="38" uniqueCount="38">
  <si>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</si>
  <si>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</si>
  <si>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</si>
  <si>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</si>
  <si>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</si>
  <si>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</si>
  <si>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</si>
  <si>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</si>
  <si>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</si>
  <si>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</si>
  <si>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آدگار صالحي زينب</t>
  </si>
  <si>
    <t>بهادري اسماعيل</t>
  </si>
  <si>
    <t>چيت سازان محمدرضا</t>
  </si>
  <si>
    <t>حسنوند سارا</t>
  </si>
  <si>
    <t>کل مبلغ قابل توزیع اضافه کار</t>
  </si>
  <si>
    <t>خدادادي امين</t>
  </si>
  <si>
    <t>کل مبلغ قابل توزیع رفاهی</t>
  </si>
  <si>
    <t>خرمي سارا</t>
  </si>
  <si>
    <t>دارابي مهدي</t>
  </si>
  <si>
    <t>زارع محمد</t>
  </si>
  <si>
    <t>سعيدي محمود</t>
  </si>
  <si>
    <t>سلاحورزي نرجس</t>
  </si>
  <si>
    <t>سواري سالم</t>
  </si>
  <si>
    <t>شهروئي مهران</t>
  </si>
  <si>
    <t>صفي خاني فاطمه</t>
  </si>
  <si>
    <t>صفي زاده حيدر</t>
  </si>
  <si>
    <t>طرفي محمد</t>
  </si>
  <si>
    <t>عباسيان مهدي</t>
  </si>
  <si>
    <t>عزيزي فرزانه</t>
  </si>
  <si>
    <t>غيلان پور مريم</t>
  </si>
  <si>
    <t>قنبري رمضان</t>
  </si>
  <si>
    <t>کرد انوشيروان</t>
  </si>
  <si>
    <t>کلانترهرمزي محمدرضا</t>
  </si>
  <si>
    <t>کياني ده کياني طهمورث</t>
  </si>
  <si>
    <t>محمدي پور سميه</t>
  </si>
  <si>
    <t>مريدزاده حسين</t>
  </si>
  <si>
    <t>موسوي سيد مرتضي</t>
  </si>
  <si>
    <t>هواشمي رضائي پور کريم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</si>
</sst>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AFF3-4D11-43A2-992A-5C14DB61108A}">
  <dimension ref="A1:K29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1602</v>
      </c>
      <c r="B3" s="5">
        <v>101778</v>
      </c>
      <c r="C3" s="5" t="s">
        <v>10</v>
      </c>
      <c r="D3" s="6">
        <v>247266</v>
      </c>
      <c r="E3" s="6">
        <v>43518948</v>
      </c>
      <c r="F3" s="8"/>
      <c r="G3" s="8"/>
      <c r="H3" s="6">
        <f t="shared" ref="H3:H28" si="0">F3*D3</f>
        <v>0</v>
      </c>
      <c r="I3" s="6">
        <f t="shared" ref="I3:I28" si="1">(G3*E3)/100</f>
        <v>0</v>
      </c>
    </row>
    <row r="4" spans="1:11" x14ac:dyDescent="0.2">
      <c r="A4" s="4">
        <v>1602</v>
      </c>
      <c r="B4" s="5">
        <v>101149</v>
      </c>
      <c r="C4" s="5" t="s">
        <v>11</v>
      </c>
      <c r="D4" s="6">
        <v>445729</v>
      </c>
      <c r="E4" s="6">
        <v>78448379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1602</v>
      </c>
      <c r="B5" s="5">
        <v>100874</v>
      </c>
      <c r="C5" s="5" t="s">
        <v>12</v>
      </c>
      <c r="D5" s="6">
        <v>512197</v>
      </c>
      <c r="E5" s="6">
        <v>90146731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1602</v>
      </c>
      <c r="B6" s="5">
        <v>101102</v>
      </c>
      <c r="C6" s="5" t="s">
        <v>13</v>
      </c>
      <c r="D6" s="6">
        <v>445985</v>
      </c>
      <c r="E6" s="6">
        <v>78493454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1008041010</v>
      </c>
    </row>
    <row r="7" spans="1:11" ht="22.5" x14ac:dyDescent="0.6">
      <c r="A7" s="4">
        <v>1602</v>
      </c>
      <c r="B7" s="5">
        <v>101478</v>
      </c>
      <c r="C7" s="5" t="s">
        <v>15</v>
      </c>
      <c r="D7" s="6">
        <v>442025</v>
      </c>
      <c r="E7" s="6">
        <v>77796428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1176544711</v>
      </c>
    </row>
    <row r="8" spans="1:11" x14ac:dyDescent="0.2">
      <c r="A8" s="4">
        <v>1602</v>
      </c>
      <c r="B8" s="5">
        <v>101931</v>
      </c>
      <c r="C8" s="5" t="s">
        <v>17</v>
      </c>
      <c r="D8" s="6">
        <v>226359</v>
      </c>
      <c r="E8" s="6">
        <v>39839250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1602</v>
      </c>
      <c r="B9" s="5">
        <v>101221</v>
      </c>
      <c r="C9" s="5" t="s">
        <v>18</v>
      </c>
      <c r="D9" s="6">
        <v>443418</v>
      </c>
      <c r="E9" s="6">
        <v>78041715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1602</v>
      </c>
      <c r="B10" s="5">
        <v>101493</v>
      </c>
      <c r="C10" s="5" t="s">
        <v>19</v>
      </c>
      <c r="D10" s="6">
        <v>373419</v>
      </c>
      <c r="E10" s="6">
        <v>65721872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1602</v>
      </c>
      <c r="B11" s="5">
        <v>100394</v>
      </c>
      <c r="C11" s="5" t="s">
        <v>20</v>
      </c>
      <c r="D11" s="6">
        <v>552865</v>
      </c>
      <c r="E11" s="6">
        <v>97304350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1602</v>
      </c>
      <c r="B12" s="5">
        <v>101880</v>
      </c>
      <c r="C12" s="5" t="s">
        <v>21</v>
      </c>
      <c r="D12" s="6">
        <v>255168</v>
      </c>
      <c r="E12" s="6">
        <v>44909700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1602</v>
      </c>
      <c r="B13" s="5">
        <v>100475</v>
      </c>
      <c r="C13" s="5" t="s">
        <v>22</v>
      </c>
      <c r="D13" s="6">
        <v>474884</v>
      </c>
      <c r="E13" s="6">
        <v>83579697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1602</v>
      </c>
      <c r="B14" s="5">
        <v>101210</v>
      </c>
      <c r="C14" s="5" t="s">
        <v>23</v>
      </c>
      <c r="D14" s="6">
        <v>442748</v>
      </c>
      <c r="E14" s="6">
        <v>77923763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1602</v>
      </c>
      <c r="B15" s="5">
        <v>101440</v>
      </c>
      <c r="C15" s="5" t="s">
        <v>24</v>
      </c>
      <c r="D15" s="6">
        <v>430508</v>
      </c>
      <c r="E15" s="6">
        <v>75769515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1602</v>
      </c>
      <c r="B16" s="5">
        <v>100213</v>
      </c>
      <c r="C16" s="5" t="s">
        <v>25</v>
      </c>
      <c r="D16" s="6">
        <v>567270</v>
      </c>
      <c r="E16" s="6">
        <v>99839575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1602</v>
      </c>
      <c r="B17" s="5">
        <v>101447</v>
      </c>
      <c r="C17" s="5" t="s">
        <v>26</v>
      </c>
      <c r="D17" s="6">
        <v>451095</v>
      </c>
      <c r="E17" s="6">
        <v>79392761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1602</v>
      </c>
      <c r="B18" s="5">
        <v>101460</v>
      </c>
      <c r="C18" s="5" t="s">
        <v>27</v>
      </c>
      <c r="D18" s="6">
        <v>440915</v>
      </c>
      <c r="E18" s="6">
        <v>77601117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1602</v>
      </c>
      <c r="B19" s="5">
        <v>101341</v>
      </c>
      <c r="C19" s="5" t="s">
        <v>28</v>
      </c>
      <c r="D19" s="6">
        <v>402097</v>
      </c>
      <c r="E19" s="6">
        <v>70769205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1602</v>
      </c>
      <c r="B20" s="5">
        <v>101020</v>
      </c>
      <c r="C20" s="5" t="s">
        <v>29</v>
      </c>
      <c r="D20" s="6">
        <v>267762</v>
      </c>
      <c r="E20" s="6">
        <v>47126211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1602</v>
      </c>
      <c r="B21" s="5">
        <v>101025</v>
      </c>
      <c r="C21" s="5" t="s">
        <v>30</v>
      </c>
      <c r="D21" s="6">
        <v>399215</v>
      </c>
      <c r="E21" s="6">
        <v>70261950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1602</v>
      </c>
      <c r="B22" s="5">
        <v>100235</v>
      </c>
      <c r="C22" s="5" t="s">
        <v>31</v>
      </c>
      <c r="D22" s="6">
        <v>503672</v>
      </c>
      <c r="E22" s="6">
        <v>88646441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1602</v>
      </c>
      <c r="B23" s="5">
        <v>100402</v>
      </c>
      <c r="C23" s="5" t="s">
        <v>32</v>
      </c>
      <c r="D23" s="6">
        <v>380321</v>
      </c>
      <c r="E23" s="6">
        <v>66936665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1602</v>
      </c>
      <c r="B24" s="5">
        <v>101219</v>
      </c>
      <c r="C24" s="5" t="s">
        <v>33</v>
      </c>
      <c r="D24" s="6">
        <v>412314</v>
      </c>
      <c r="E24" s="6">
        <v>72567410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1602</v>
      </c>
      <c r="B25" s="5">
        <v>101323</v>
      </c>
      <c r="C25" s="5" t="s">
        <v>34</v>
      </c>
      <c r="D25" s="6">
        <v>398311</v>
      </c>
      <c r="E25" s="6">
        <v>70102803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1602</v>
      </c>
      <c r="B26" s="5">
        <v>100846</v>
      </c>
      <c r="C26" s="5" t="s">
        <v>35</v>
      </c>
      <c r="D26" s="6">
        <v>452852</v>
      </c>
      <c r="E26" s="6">
        <v>79702043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>
        <v>1602</v>
      </c>
      <c r="B27" s="5">
        <v>101912</v>
      </c>
      <c r="C27" s="5" t="s">
        <v>36</v>
      </c>
      <c r="D27" s="6">
        <v>226359</v>
      </c>
      <c r="E27" s="6">
        <v>39839250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>
        <v>1602</v>
      </c>
      <c r="B28" s="5">
        <v>101498</v>
      </c>
      <c r="C28" s="5" t="s">
        <v>37</v>
      </c>
      <c r="D28" s="6">
        <v>416204</v>
      </c>
      <c r="E28" s="6">
        <v>73252054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H29" s="3">
        <f t="shared" ref="H29:I29" si="2">SUM(H3:H28)</f>
        <v>0</v>
      </c>
      <c r="I29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2024-07-29T07:18:17Z</dcterms:created>
  <dcterms:modified xsi:type="dcterms:W3CDTF">2024-07-29T07:18:18Z</dcterms:modified>
</cp:coreProperties>
</file>