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AEFEEFB6-1306-4792-9178-5A0883D2FE45}" xr6:coauthVersionLast="47" xr6:coauthVersionMax="47" xr10:uidLastSave="{00000000-0000-0000-0000-000000000000}"/>
  <bookViews>
    <workbookView xWindow="-120" yWindow="-120" windowWidth="29040" windowHeight="15840" xr2:uid="{017ED7D9-8B3D-42A0-AEF1-17DDBEFF4937}"/>
  </bookViews>
  <sheets>
    <sheet name="16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4" i="1" s="1"/>
  <c r="H3" i="1"/>
  <c r="H24" i="1" s="1"/>
</calcChain>
</file>

<file path=xl/sharedStrings.xml><?xml version="1.0" encoding="utf-8"?>
<sst xmlns="http://schemas.openxmlformats.org/spreadsheetml/2006/main" count="33" uniqueCount="33">
  <si>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</si>
  <si>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</si>
  <si>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</si>
  <si>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</si>
  <si>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</si>
  <si>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</si>
  <si>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</si>
  <si>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</si>
  <si>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</si>
  <si>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</si>
  <si>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ابراهيمي محمدمهدي</t>
  </si>
  <si>
    <t>اسکندري رضا</t>
  </si>
  <si>
    <t>بهزادمند مسعود</t>
  </si>
  <si>
    <t>جعفري مريم</t>
  </si>
  <si>
    <t>کل مبلغ قابل توزیع اضافه کار</t>
  </si>
  <si>
    <t>جلالي مصطفي</t>
  </si>
  <si>
    <t>کل مبلغ قابل توزیع رفاهی</t>
  </si>
  <si>
    <t>چنگيزي طاهره</t>
  </si>
  <si>
    <t>حسين زاده بهروز آزاده</t>
  </si>
  <si>
    <t>حلالي زينب</t>
  </si>
  <si>
    <t>خسروي سحر</t>
  </si>
  <si>
    <t>خيرآبادي مطلق مريم</t>
  </si>
  <si>
    <t>دانش پژوه سعيد</t>
  </si>
  <si>
    <t>زهيري مسعود</t>
  </si>
  <si>
    <t>سفيدخوش مسعود</t>
  </si>
  <si>
    <t>صبور مهدي</t>
  </si>
  <si>
    <t>صداقت مسعود</t>
  </si>
  <si>
    <t>عباس زاده گوراني آمنه</t>
  </si>
  <si>
    <t>عچرش کريمي منا</t>
  </si>
  <si>
    <t>فيليان مينا</t>
  </si>
  <si>
    <t>کياني معصومه</t>
  </si>
  <si>
    <t>محمدي ديلم سعيد</t>
  </si>
  <si>
    <t>محمدي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</si>
</sst>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513F-1E11-40E3-83FF-428B569898F9}">
  <dimension ref="A1:K24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1611</v>
      </c>
      <c r="B3" s="5">
        <v>101477</v>
      </c>
      <c r="C3" s="5" t="s">
        <v>10</v>
      </c>
      <c r="D3" s="6">
        <v>437630</v>
      </c>
      <c r="E3" s="6">
        <v>77023035</v>
      </c>
      <c r="F3" s="8"/>
      <c r="G3" s="8"/>
      <c r="H3" s="6">
        <f t="shared" ref="H3:H23" si="0">F3*D3</f>
        <v>0</v>
      </c>
      <c r="I3" s="6">
        <f t="shared" ref="I3:I23" si="1">(G3*E3)/100</f>
        <v>0</v>
      </c>
    </row>
    <row r="4" spans="1:11" x14ac:dyDescent="0.2">
      <c r="A4" s="4">
        <v>1611</v>
      </c>
      <c r="B4" s="5">
        <v>101957</v>
      </c>
      <c r="C4" s="5" t="s">
        <v>11</v>
      </c>
      <c r="D4" s="6">
        <v>255168</v>
      </c>
      <c r="E4" s="6">
        <v>44909700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1611</v>
      </c>
      <c r="B5" s="5">
        <v>100308</v>
      </c>
      <c r="C5" s="5" t="s">
        <v>12</v>
      </c>
      <c r="D5" s="6">
        <v>510707</v>
      </c>
      <c r="E5" s="6">
        <v>89884603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1611</v>
      </c>
      <c r="B6" s="5">
        <v>101438</v>
      </c>
      <c r="C6" s="5" t="s">
        <v>13</v>
      </c>
      <c r="D6" s="6">
        <v>436988</v>
      </c>
      <c r="E6" s="6">
        <v>76909925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817829255</v>
      </c>
    </row>
    <row r="7" spans="1:11" ht="22.5" x14ac:dyDescent="0.6">
      <c r="A7" s="4">
        <v>1611</v>
      </c>
      <c r="B7" s="5">
        <v>101518</v>
      </c>
      <c r="C7" s="5" t="s">
        <v>15</v>
      </c>
      <c r="D7" s="6">
        <v>236785</v>
      </c>
      <c r="E7" s="6">
        <v>41674270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984840008</v>
      </c>
    </row>
    <row r="8" spans="1:11" x14ac:dyDescent="0.2">
      <c r="A8" s="4">
        <v>1611</v>
      </c>
      <c r="B8" s="5">
        <v>101879</v>
      </c>
      <c r="C8" s="5" t="s">
        <v>17</v>
      </c>
      <c r="D8" s="6">
        <v>255168</v>
      </c>
      <c r="E8" s="6">
        <v>44909700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1611</v>
      </c>
      <c r="B9" s="5">
        <v>100948</v>
      </c>
      <c r="C9" s="5" t="s">
        <v>18</v>
      </c>
      <c r="D9" s="6">
        <v>439856</v>
      </c>
      <c r="E9" s="6">
        <v>77414770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1611</v>
      </c>
      <c r="B10" s="5">
        <v>101242</v>
      </c>
      <c r="C10" s="5" t="s">
        <v>19</v>
      </c>
      <c r="D10" s="6">
        <v>439739</v>
      </c>
      <c r="E10" s="6">
        <v>77394223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1611</v>
      </c>
      <c r="B11" s="5">
        <v>100766</v>
      </c>
      <c r="C11" s="5" t="s">
        <v>20</v>
      </c>
      <c r="D11" s="6">
        <v>452888</v>
      </c>
      <c r="E11" s="6">
        <v>79708355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1611</v>
      </c>
      <c r="B12" s="5">
        <v>101357</v>
      </c>
      <c r="C12" s="5" t="s">
        <v>21</v>
      </c>
      <c r="D12" s="6">
        <v>400279</v>
      </c>
      <c r="E12" s="6">
        <v>70449224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1611</v>
      </c>
      <c r="B13" s="5">
        <v>100884</v>
      </c>
      <c r="C13" s="5" t="s">
        <v>22</v>
      </c>
      <c r="D13" s="6">
        <v>464063</v>
      </c>
      <c r="E13" s="6">
        <v>81675146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1611</v>
      </c>
      <c r="B14" s="5">
        <v>100971</v>
      </c>
      <c r="C14" s="5" t="s">
        <v>23</v>
      </c>
      <c r="D14" s="6">
        <v>450063</v>
      </c>
      <c r="E14" s="6">
        <v>79211135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1611</v>
      </c>
      <c r="B15" s="5">
        <v>100383</v>
      </c>
      <c r="C15" s="5" t="s">
        <v>24</v>
      </c>
      <c r="D15" s="6">
        <v>504931</v>
      </c>
      <c r="E15" s="6">
        <v>88867943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1611</v>
      </c>
      <c r="B16" s="5">
        <v>100286</v>
      </c>
      <c r="C16" s="5" t="s">
        <v>25</v>
      </c>
      <c r="D16" s="6">
        <v>538460</v>
      </c>
      <c r="E16" s="6">
        <v>94769125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1611</v>
      </c>
      <c r="B17" s="5">
        <v>100999</v>
      </c>
      <c r="C17" s="5" t="s">
        <v>26</v>
      </c>
      <c r="D17" s="6">
        <v>440756</v>
      </c>
      <c r="E17" s="6">
        <v>77573056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1611</v>
      </c>
      <c r="B18" s="5">
        <v>101158</v>
      </c>
      <c r="C18" s="5" t="s">
        <v>27</v>
      </c>
      <c r="D18" s="6">
        <v>442460</v>
      </c>
      <c r="E18" s="6">
        <v>77873083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1611</v>
      </c>
      <c r="B19" s="5">
        <v>101951</v>
      </c>
      <c r="C19" s="5" t="s">
        <v>28</v>
      </c>
      <c r="D19" s="6">
        <v>273689</v>
      </c>
      <c r="E19" s="6">
        <v>48169275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1611</v>
      </c>
      <c r="B20" s="5">
        <v>101023</v>
      </c>
      <c r="C20" s="5" t="s">
        <v>29</v>
      </c>
      <c r="D20" s="6">
        <v>371640</v>
      </c>
      <c r="E20" s="6">
        <v>65408805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1611</v>
      </c>
      <c r="B21" s="5">
        <v>101742</v>
      </c>
      <c r="C21" s="5" t="s">
        <v>30</v>
      </c>
      <c r="D21" s="6">
        <v>354992</v>
      </c>
      <c r="E21" s="6">
        <v>62478696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1611</v>
      </c>
      <c r="B22" s="5">
        <v>100411</v>
      </c>
      <c r="C22" s="5" t="s">
        <v>31</v>
      </c>
      <c r="D22" s="6">
        <v>524056</v>
      </c>
      <c r="E22" s="6">
        <v>92233900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1611</v>
      </c>
      <c r="B23" s="5">
        <v>101805</v>
      </c>
      <c r="C23" s="5" t="s">
        <v>32</v>
      </c>
      <c r="D23" s="6">
        <v>378411</v>
      </c>
      <c r="E23" s="6">
        <v>66600505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H24" s="3">
        <f t="shared" ref="H24:I24" si="2">SUM(H3:H23)</f>
        <v>0</v>
      </c>
      <c r="I24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2024-07-29T07:17:54Z</dcterms:created>
  <dcterms:modified xsi:type="dcterms:W3CDTF">2024-07-29T07:17:55Z</dcterms:modified>
</cp:coreProperties>
</file>