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49769633-3CE0-41A4-A9DE-CB3D30B60EB9}" xr6:coauthVersionLast="47" xr6:coauthVersionMax="47" xr10:uidLastSave="{00000000-0000-0000-0000-000000000000}"/>
  <bookViews>
    <workbookView xWindow="-120" yWindow="-120" windowWidth="29040" windowHeight="15840" xr2:uid="{32B62E3F-367C-4BDE-8585-B2FC74FE2024}"/>
  </bookViews>
  <sheets>
    <sheet name="166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5" i="1" s="1"/>
  <c r="H3" i="1"/>
  <c r="H25" i="1" s="1"/>
</calcChain>
</file>

<file path=xl/sharedStrings.xml><?xml version="1.0" encoding="utf-8"?>
<sst xmlns="http://schemas.openxmlformats.org/spreadsheetml/2006/main" count="34" uniqueCount="34">
  <si>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</si>
  <si>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</si>
  <si>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</si>
  <si>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</si>
  <si>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</si>
  <si>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</si>
  <si>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</si>
  <si>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</si>
  <si>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</si>
  <si>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</si>
  <si>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بوحميد خديجه</t>
  </si>
  <si>
    <t>پولادگر علي</t>
  </si>
  <si>
    <t>جوروند احمد</t>
  </si>
  <si>
    <t>چناري امين</t>
  </si>
  <si>
    <t>کل مبلغ قابل توزیع اضافه کار</t>
  </si>
  <si>
    <t>حاتمي هاشم</t>
  </si>
  <si>
    <t>کل مبلغ قابل توزیع رفاهی</t>
  </si>
  <si>
    <t>حمزه ناصر</t>
  </si>
  <si>
    <t>خدادوست محمود</t>
  </si>
  <si>
    <t>خير انديش مسعود</t>
  </si>
  <si>
    <t>ديناروند مينا</t>
  </si>
  <si>
    <t>رکاب ناصر</t>
  </si>
  <si>
    <t>رور منا جاسم</t>
  </si>
  <si>
    <t>شيري مصطفي</t>
  </si>
  <si>
    <t>طاهري سينا</t>
  </si>
  <si>
    <t>عبدالخاني عيدي</t>
  </si>
  <si>
    <t>عبدالخاني محمد</t>
  </si>
  <si>
    <t>عزيززاده فاطمه</t>
  </si>
  <si>
    <t>علي پورکوتياني غلامرضا</t>
  </si>
  <si>
    <t>فاضلي خديجه</t>
  </si>
  <si>
    <t>کاوندي بيژن</t>
  </si>
  <si>
    <t>محمدي مطلق افشين</t>
  </si>
  <si>
    <t>نصرالهي زهرا</t>
  </si>
  <si>
    <t>نيسي نيا صادق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</si>
</sst>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7958-F5E1-441C-AAD1-5EFDF33426DB}">
  <dimension ref="A1:K25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1668</v>
      </c>
      <c r="B3" s="5">
        <v>100728</v>
      </c>
      <c r="C3" s="5" t="s">
        <v>10</v>
      </c>
      <c r="D3" s="6">
        <v>447265</v>
      </c>
      <c r="E3" s="6">
        <v>78718780</v>
      </c>
      <c r="F3" s="8"/>
      <c r="G3" s="8"/>
      <c r="H3" s="6">
        <f t="shared" ref="H3:H24" si="0">F3*D3</f>
        <v>0</v>
      </c>
      <c r="I3" s="6">
        <f t="shared" ref="I3:I24" si="1">(G3*E3)/100</f>
        <v>0</v>
      </c>
    </row>
    <row r="4" spans="1:11" x14ac:dyDescent="0.2">
      <c r="A4" s="4">
        <v>1668</v>
      </c>
      <c r="B4" s="5">
        <v>101432</v>
      </c>
      <c r="C4" s="5" t="s">
        <v>11</v>
      </c>
      <c r="D4" s="6">
        <v>369349</v>
      </c>
      <c r="E4" s="6">
        <v>65005566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1668</v>
      </c>
      <c r="B5" s="5">
        <v>101312</v>
      </c>
      <c r="C5" s="5" t="s">
        <v>12</v>
      </c>
      <c r="D5" s="6">
        <v>433842</v>
      </c>
      <c r="E5" s="6">
        <v>76356227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1668</v>
      </c>
      <c r="B6" s="5">
        <v>100945</v>
      </c>
      <c r="C6" s="5" t="s">
        <v>13</v>
      </c>
      <c r="D6" s="6">
        <v>456237</v>
      </c>
      <c r="E6" s="6">
        <v>71661840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980693175</v>
      </c>
    </row>
    <row r="7" spans="1:11" ht="22.5" x14ac:dyDescent="0.6">
      <c r="A7" s="4">
        <v>1668</v>
      </c>
      <c r="B7" s="5">
        <v>100440</v>
      </c>
      <c r="C7" s="5" t="s">
        <v>15</v>
      </c>
      <c r="D7" s="6">
        <v>514840</v>
      </c>
      <c r="E7" s="6">
        <v>90611893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1111932374</v>
      </c>
    </row>
    <row r="8" spans="1:11" x14ac:dyDescent="0.2">
      <c r="A8" s="4">
        <v>1668</v>
      </c>
      <c r="B8" s="5">
        <v>100387</v>
      </c>
      <c r="C8" s="5" t="s">
        <v>17</v>
      </c>
      <c r="D8" s="6">
        <v>559039</v>
      </c>
      <c r="E8" s="6">
        <v>98390875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1668</v>
      </c>
      <c r="B9" s="5">
        <v>100346</v>
      </c>
      <c r="C9" s="5" t="s">
        <v>18</v>
      </c>
      <c r="D9" s="6">
        <v>542713</v>
      </c>
      <c r="E9" s="6">
        <v>95517620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1668</v>
      </c>
      <c r="B10" s="5">
        <v>101123</v>
      </c>
      <c r="C10" s="5" t="s">
        <v>19</v>
      </c>
      <c r="D10" s="6">
        <v>405974</v>
      </c>
      <c r="E10" s="6">
        <v>71451469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1668</v>
      </c>
      <c r="B11" s="5">
        <v>101391</v>
      </c>
      <c r="C11" s="5" t="s">
        <v>20</v>
      </c>
      <c r="D11" s="6">
        <v>323884</v>
      </c>
      <c r="E11" s="6">
        <v>57003638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1668</v>
      </c>
      <c r="B12" s="5">
        <v>101548</v>
      </c>
      <c r="C12" s="5" t="s">
        <v>21</v>
      </c>
      <c r="D12" s="6">
        <v>356052</v>
      </c>
      <c r="E12" s="6">
        <v>62665246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1668</v>
      </c>
      <c r="B13" s="5">
        <v>101775</v>
      </c>
      <c r="C13" s="5" t="s">
        <v>22</v>
      </c>
      <c r="D13" s="6">
        <v>343599</v>
      </c>
      <c r="E13" s="6">
        <v>60473567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1668</v>
      </c>
      <c r="B14" s="5">
        <v>100503</v>
      </c>
      <c r="C14" s="5" t="s">
        <v>23</v>
      </c>
      <c r="D14" s="6">
        <v>477320</v>
      </c>
      <c r="E14" s="6">
        <v>84008486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1668</v>
      </c>
      <c r="B15" s="5">
        <v>100544</v>
      </c>
      <c r="C15" s="5" t="s">
        <v>24</v>
      </c>
      <c r="D15" s="6">
        <v>527897</v>
      </c>
      <c r="E15" s="6">
        <v>92909960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1668</v>
      </c>
      <c r="B16" s="5">
        <v>100810</v>
      </c>
      <c r="C16" s="5" t="s">
        <v>25</v>
      </c>
      <c r="D16" s="6">
        <v>478203</v>
      </c>
      <c r="E16" s="6">
        <v>84163800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1668</v>
      </c>
      <c r="B17" s="5">
        <v>101005</v>
      </c>
      <c r="C17" s="5" t="s">
        <v>26</v>
      </c>
      <c r="D17" s="6">
        <v>337755</v>
      </c>
      <c r="E17" s="6">
        <v>59444990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1668</v>
      </c>
      <c r="B18" s="5">
        <v>101790</v>
      </c>
      <c r="C18" s="5" t="s">
        <v>27</v>
      </c>
      <c r="D18" s="6">
        <v>267104</v>
      </c>
      <c r="E18" s="6">
        <v>47010315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1668</v>
      </c>
      <c r="B19" s="5">
        <v>100486</v>
      </c>
      <c r="C19" s="5" t="s">
        <v>28</v>
      </c>
      <c r="D19" s="6">
        <v>523781</v>
      </c>
      <c r="E19" s="6">
        <v>92185610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1668</v>
      </c>
      <c r="B20" s="5">
        <v>101403</v>
      </c>
      <c r="C20" s="5" t="s">
        <v>29</v>
      </c>
      <c r="D20" s="6">
        <v>434144</v>
      </c>
      <c r="E20" s="6">
        <v>76409490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>
        <v>1668</v>
      </c>
      <c r="B21" s="5">
        <v>100374</v>
      </c>
      <c r="C21" s="5" t="s">
        <v>30</v>
      </c>
      <c r="D21" s="6">
        <v>386024</v>
      </c>
      <c r="E21" s="6">
        <v>67940308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>
        <v>1668</v>
      </c>
      <c r="B22" s="5">
        <v>517565</v>
      </c>
      <c r="C22" s="5" t="s">
        <v>31</v>
      </c>
      <c r="D22" s="6">
        <v>336495</v>
      </c>
      <c r="E22" s="6">
        <v>59223243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>
        <v>1668</v>
      </c>
      <c r="B23" s="5">
        <v>101569</v>
      </c>
      <c r="C23" s="5" t="s">
        <v>32</v>
      </c>
      <c r="D23" s="6">
        <v>383829</v>
      </c>
      <c r="E23" s="6">
        <v>67553975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>
        <v>1668</v>
      </c>
      <c r="B24" s="5">
        <v>101349</v>
      </c>
      <c r="C24" s="5" t="s">
        <v>33</v>
      </c>
      <c r="D24" s="6">
        <v>434589</v>
      </c>
      <c r="E24" s="6">
        <v>76487769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H25" s="3">
        <f t="shared" ref="H25:I25" si="2">SUM(H3:H24)</f>
        <v>0</v>
      </c>
      <c r="I25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2024-07-29T07:18:22Z</dcterms:created>
  <dcterms:modified xsi:type="dcterms:W3CDTF">2024-07-29T07:18:23Z</dcterms:modified>
</cp:coreProperties>
</file>