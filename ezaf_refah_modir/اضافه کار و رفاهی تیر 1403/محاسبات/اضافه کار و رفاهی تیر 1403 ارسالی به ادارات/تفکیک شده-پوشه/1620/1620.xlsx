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F26A80C9-7579-4C03-8F42-43A184639FD7}" xr6:coauthVersionLast="47" xr6:coauthVersionMax="47" xr10:uidLastSave="{00000000-0000-0000-0000-000000000000}"/>
  <bookViews>
    <workbookView xWindow="-120" yWindow="-120" windowWidth="29040" windowHeight="15840" xr2:uid="{58DA56A4-5322-47F0-818B-1B2429FA62F0}"/>
  </bookViews>
  <sheets>
    <sheet name="16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5" i="1" s="1"/>
  <c r="H3" i="1"/>
  <c r="H15" i="1" s="1"/>
</calcChain>
</file>

<file path=xl/sharedStrings.xml><?xml version="1.0" encoding="utf-8"?>
<sst xmlns="http://schemas.openxmlformats.org/spreadsheetml/2006/main" count="24" uniqueCount="24">
  <si>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</si>
  <si>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</si>
  <si>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</si>
  <si>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</si>
  <si>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</si>
  <si>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</si>
  <si>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</si>
  <si>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</si>
  <si>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</si>
  <si>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</si>
  <si>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ايزد نرجس</t>
  </si>
  <si>
    <t>باراني جمشيد</t>
  </si>
  <si>
    <t>رستگاري نسب مسعود</t>
  </si>
  <si>
    <t>شيخي پور مجتبي</t>
  </si>
  <si>
    <t>کل مبلغ قابل توزیع اضافه کار</t>
  </si>
  <si>
    <t>شيشه گر فاطمه</t>
  </si>
  <si>
    <t>کل مبلغ قابل توزیع رفاهی</t>
  </si>
  <si>
    <t>صباغ نژاد بهروز</t>
  </si>
  <si>
    <t>عليزاده حسين</t>
  </si>
  <si>
    <t>کريمي محسن</t>
  </si>
  <si>
    <t>محمدي پرستو</t>
  </si>
  <si>
    <t>نصيري مجد مريم</t>
  </si>
  <si>
    <t>نوشادي امين</t>
  </si>
  <si>
    <t>نيسي مجيد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</si>
</sst>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1D850-C31E-46A1-B7D8-4E5DD8756D5C}">
  <dimension ref="A1:K1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1620</v>
      </c>
      <c r="B3" s="5">
        <v>101086</v>
      </c>
      <c r="C3" s="5" t="s">
        <v>10</v>
      </c>
      <c r="D3" s="6">
        <v>409347</v>
      </c>
      <c r="E3" s="6">
        <v>72045125</v>
      </c>
      <c r="F3" s="8"/>
      <c r="G3" s="8"/>
      <c r="H3" s="6">
        <f t="shared" ref="H3:H14" si="0">F3*D3</f>
        <v>0</v>
      </c>
      <c r="I3" s="6">
        <f t="shared" ref="I3:I14" si="1">(G3*E3)/100</f>
        <v>0</v>
      </c>
    </row>
    <row r="4" spans="1:11" x14ac:dyDescent="0.2">
      <c r="A4" s="4">
        <v>1620</v>
      </c>
      <c r="B4" s="5">
        <v>101470</v>
      </c>
      <c r="C4" s="5" t="s">
        <v>11</v>
      </c>
      <c r="D4" s="6">
        <v>399326</v>
      </c>
      <c r="E4" s="6">
        <v>70281476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1620</v>
      </c>
      <c r="B5" s="5">
        <v>101414</v>
      </c>
      <c r="C5" s="5" t="s">
        <v>12</v>
      </c>
      <c r="D5" s="6">
        <v>402204</v>
      </c>
      <c r="E5" s="6">
        <v>70788043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1620</v>
      </c>
      <c r="B6" s="5">
        <v>101251</v>
      </c>
      <c r="C6" s="5" t="s">
        <v>13</v>
      </c>
      <c r="D6" s="6">
        <v>411804</v>
      </c>
      <c r="E6" s="6">
        <v>72477679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508153290</v>
      </c>
    </row>
    <row r="7" spans="1:11" ht="22.5" x14ac:dyDescent="0.6">
      <c r="A7" s="4">
        <v>1620</v>
      </c>
      <c r="B7" s="5">
        <v>100720</v>
      </c>
      <c r="C7" s="5" t="s">
        <v>15</v>
      </c>
      <c r="D7" s="6">
        <v>456078</v>
      </c>
      <c r="E7" s="6">
        <v>80269822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611924171</v>
      </c>
    </row>
    <row r="8" spans="1:11" x14ac:dyDescent="0.2">
      <c r="A8" s="4">
        <v>1620</v>
      </c>
      <c r="B8" s="5">
        <v>100258</v>
      </c>
      <c r="C8" s="5" t="s">
        <v>17</v>
      </c>
      <c r="D8" s="6">
        <v>552865</v>
      </c>
      <c r="E8" s="6">
        <v>97304350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1620</v>
      </c>
      <c r="B9" s="5">
        <v>100692</v>
      </c>
      <c r="C9" s="5" t="s">
        <v>18</v>
      </c>
      <c r="D9" s="6">
        <v>523067</v>
      </c>
      <c r="E9" s="6">
        <v>92059804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1620</v>
      </c>
      <c r="B10" s="5">
        <v>101254</v>
      </c>
      <c r="C10" s="5" t="s">
        <v>19</v>
      </c>
      <c r="D10" s="6">
        <v>412633</v>
      </c>
      <c r="E10" s="6">
        <v>72623577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1620</v>
      </c>
      <c r="B11" s="5">
        <v>100670</v>
      </c>
      <c r="C11" s="5" t="s">
        <v>20</v>
      </c>
      <c r="D11" s="6">
        <v>524898</v>
      </c>
      <c r="E11" s="6">
        <v>92382103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1620</v>
      </c>
      <c r="B12" s="5">
        <v>101424</v>
      </c>
      <c r="C12" s="5" t="s">
        <v>21</v>
      </c>
      <c r="D12" s="6">
        <v>435791</v>
      </c>
      <c r="E12" s="6">
        <v>76699220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1620</v>
      </c>
      <c r="B13" s="5">
        <v>101555</v>
      </c>
      <c r="C13" s="5" t="s">
        <v>22</v>
      </c>
      <c r="D13" s="6">
        <v>409017</v>
      </c>
      <c r="E13" s="6">
        <v>71986997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1620</v>
      </c>
      <c r="B14" s="5">
        <v>101186</v>
      </c>
      <c r="C14" s="5" t="s">
        <v>23</v>
      </c>
      <c r="D14" s="6">
        <v>411952</v>
      </c>
      <c r="E14" s="6">
        <v>72503605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H15" s="3">
        <f t="shared" ref="H15:I15" si="2">SUM(H3:H14)</f>
        <v>0</v>
      </c>
      <c r="I1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2024-07-29T07:18:16Z</dcterms:created>
  <dcterms:modified xsi:type="dcterms:W3CDTF">2024-07-29T07:18:16Z</dcterms:modified>
</cp:coreProperties>
</file>