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F3927AF1-9C6D-4787-880F-84127659DBFD}" xr6:coauthVersionLast="47" xr6:coauthVersionMax="47" xr10:uidLastSave="{00000000-0000-0000-0000-000000000000}"/>
  <bookViews>
    <workbookView xWindow="-120" yWindow="-120" windowWidth="29040" windowHeight="15840" xr2:uid="{770AD226-55A3-4F02-93CB-C3392EAD686E}"/>
  </bookViews>
  <sheets>
    <sheet name="16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6" i="1" s="1"/>
  <c r="H3" i="1"/>
  <c r="H16" i="1" s="1"/>
</calcChain>
</file>

<file path=xl/sharedStrings.xml><?xml version="1.0" encoding="utf-8"?>
<sst xmlns="http://schemas.openxmlformats.org/spreadsheetml/2006/main" count="25" uniqueCount="25">
  <si>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</si>
  <si>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</si>
  <si>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</si>
  <si>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</si>
  <si>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</si>
  <si>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</si>
  <si>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</si>
  <si>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</si>
  <si>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</si>
  <si>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</si>
  <si>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اکرامي مريم</t>
  </si>
  <si>
    <t>بخشي برد شاهي علي</t>
  </si>
  <si>
    <t>پاک سرشت محمد حسين</t>
  </si>
  <si>
    <t>حسيني سيده معصومه</t>
  </si>
  <si>
    <t>کل مبلغ قابل توزیع اضافه کار</t>
  </si>
  <si>
    <t>دلاورفرد علي</t>
  </si>
  <si>
    <t>کل مبلغ قابل توزیع رفاهی</t>
  </si>
  <si>
    <t>شجاعي آنا</t>
  </si>
  <si>
    <t>شيردل محسن</t>
  </si>
  <si>
    <t>عالمي خاطره</t>
  </si>
  <si>
    <t>عبيداوي عبدالرضا</t>
  </si>
  <si>
    <t>غبيشاوي عبدالخالق</t>
  </si>
  <si>
    <t>کاوش ابراهيم</t>
  </si>
  <si>
    <t>نقي ترابي محمدياسين</t>
  </si>
  <si>
    <t>هوشداري مريم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</si>
</sst>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8B80-ECC4-4EEE-8415-80C1EC06FFDE}">
  <dimension ref="A1:K16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1609</v>
      </c>
      <c r="B3" s="5">
        <v>101795</v>
      </c>
      <c r="C3" s="5" t="s">
        <v>10</v>
      </c>
      <c r="D3" s="6">
        <v>281097</v>
      </c>
      <c r="E3" s="6">
        <v>49473105</v>
      </c>
      <c r="F3" s="8"/>
      <c r="G3" s="8"/>
      <c r="H3" s="6">
        <f t="shared" ref="H3:H15" si="0">F3*D3</f>
        <v>0</v>
      </c>
      <c r="I3" s="6">
        <f t="shared" ref="I3:I15" si="1">(G3*E3)/100</f>
        <v>0</v>
      </c>
    </row>
    <row r="4" spans="1:11" x14ac:dyDescent="0.2">
      <c r="A4" s="4">
        <v>1609</v>
      </c>
      <c r="B4" s="5">
        <v>101314</v>
      </c>
      <c r="C4" s="5" t="s">
        <v>11</v>
      </c>
      <c r="D4" s="6">
        <v>388372</v>
      </c>
      <c r="E4" s="6">
        <v>68353474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1609</v>
      </c>
      <c r="B5" s="5">
        <v>101556</v>
      </c>
      <c r="C5" s="5" t="s">
        <v>12</v>
      </c>
      <c r="D5" s="6">
        <v>390785</v>
      </c>
      <c r="E5" s="6">
        <v>68778246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1609</v>
      </c>
      <c r="B6" s="5">
        <v>101573</v>
      </c>
      <c r="C6" s="5" t="s">
        <v>13</v>
      </c>
      <c r="D6" s="6">
        <v>330347</v>
      </c>
      <c r="E6" s="6">
        <v>58141160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463410570</v>
      </c>
    </row>
    <row r="7" spans="1:11" ht="22.5" x14ac:dyDescent="0.6">
      <c r="A7" s="4">
        <v>1609</v>
      </c>
      <c r="B7" s="5">
        <v>100209</v>
      </c>
      <c r="C7" s="5" t="s">
        <v>15</v>
      </c>
      <c r="D7" s="6">
        <v>538460</v>
      </c>
      <c r="E7" s="6">
        <v>94769125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540873915</v>
      </c>
    </row>
    <row r="8" spans="1:11" x14ac:dyDescent="0.2">
      <c r="A8" s="4">
        <v>1609</v>
      </c>
      <c r="B8" s="5">
        <v>101319</v>
      </c>
      <c r="C8" s="5" t="s">
        <v>17</v>
      </c>
      <c r="D8" s="6">
        <v>337837</v>
      </c>
      <c r="E8" s="6">
        <v>59459477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1609</v>
      </c>
      <c r="B9" s="5">
        <v>101480</v>
      </c>
      <c r="C9" s="5" t="s">
        <v>18</v>
      </c>
      <c r="D9" s="6">
        <v>427670</v>
      </c>
      <c r="E9" s="6">
        <v>75269941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1609</v>
      </c>
      <c r="B10" s="5">
        <v>101899</v>
      </c>
      <c r="C10" s="5" t="s">
        <v>19</v>
      </c>
      <c r="D10" s="6">
        <v>255168</v>
      </c>
      <c r="E10" s="6">
        <v>44909700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1609</v>
      </c>
      <c r="B11" s="5">
        <v>101207</v>
      </c>
      <c r="C11" s="5" t="s">
        <v>20</v>
      </c>
      <c r="D11" s="6">
        <v>417417</v>
      </c>
      <c r="E11" s="6">
        <v>73465460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1609</v>
      </c>
      <c r="B12" s="5">
        <v>101752</v>
      </c>
      <c r="C12" s="5" t="s">
        <v>21</v>
      </c>
      <c r="D12" s="6">
        <v>337591</v>
      </c>
      <c r="E12" s="6">
        <v>59416016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1609</v>
      </c>
      <c r="B13" s="5">
        <v>100555</v>
      </c>
      <c r="C13" s="5" t="s">
        <v>22</v>
      </c>
      <c r="D13" s="6">
        <v>537530</v>
      </c>
      <c r="E13" s="6">
        <v>94605296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1609</v>
      </c>
      <c r="B14" s="5">
        <v>101730</v>
      </c>
      <c r="C14" s="5" t="s">
        <v>23</v>
      </c>
      <c r="D14" s="6">
        <v>380564</v>
      </c>
      <c r="E14" s="6">
        <v>66979324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1609</v>
      </c>
      <c r="B15" s="5">
        <v>101955</v>
      </c>
      <c r="C15" s="5" t="s">
        <v>24</v>
      </c>
      <c r="D15" s="6">
        <v>255168</v>
      </c>
      <c r="E15" s="6">
        <v>44909700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H16" s="3">
        <f t="shared" ref="H16:I16" si="2">SUM(H3:H15)</f>
        <v>0</v>
      </c>
      <c r="I16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2024-07-29T07:18:12Z</dcterms:created>
  <dcterms:modified xsi:type="dcterms:W3CDTF">2024-07-29T07:18:12Z</dcterms:modified>
</cp:coreProperties>
</file>