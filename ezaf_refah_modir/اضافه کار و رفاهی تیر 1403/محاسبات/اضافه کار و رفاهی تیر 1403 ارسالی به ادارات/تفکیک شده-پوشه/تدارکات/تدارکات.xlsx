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86554417-1AA6-41B9-8BEA-531CD4F162FB}" xr6:coauthVersionLast="47" xr6:coauthVersionMax="47" xr10:uidLastSave="{00000000-0000-0000-0000-000000000000}"/>
  <bookViews>
    <workbookView xWindow="-120" yWindow="-120" windowWidth="29040" windowHeight="15840" xr2:uid="{56AF5156-394D-4488-A7AD-16F491490978}"/>
  </bookViews>
  <sheets>
    <sheet name="تدارکا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7" i="1" s="1"/>
  <c r="H3" i="1"/>
  <c r="H27" i="1" s="1"/>
</calcChain>
</file>

<file path=xl/sharedStrings.xml><?xml version="1.0" encoding="utf-8"?>
<sst xmlns="http://schemas.openxmlformats.org/spreadsheetml/2006/main" count="60" uniqueCount="37">
  <si>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</si>
  <si>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</si>
  <si>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</si>
  <si>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</si>
  <si>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</si>
  <si>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</si>
  <si>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</si>
  <si>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</si>
  <si>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</si>
  <si>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</si>
  <si>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تدارکات</t>
  </si>
  <si>
    <t>احمدي بلوطکي مهدي</t>
  </si>
  <si>
    <t>احمدي مينا</t>
  </si>
  <si>
    <t>اسکندري عباس</t>
  </si>
  <si>
    <t>بيت حردان عبدالزهرا</t>
  </si>
  <si>
    <t>کل مبلغ قابل توزیع اضافه کار</t>
  </si>
  <si>
    <t>بيرانوند سعيد</t>
  </si>
  <si>
    <t>کل مبلغ قابل توزیع رفاهی</t>
  </si>
  <si>
    <t>تيمان محمد</t>
  </si>
  <si>
    <t>جولي زنگنه آرش</t>
  </si>
  <si>
    <t>جولي زنگنه فر مجيد</t>
  </si>
  <si>
    <t>حاجي زاده آنا</t>
  </si>
  <si>
    <t>رافع سيدفرهاد</t>
  </si>
  <si>
    <t>رضائي زاده ايمان</t>
  </si>
  <si>
    <t>ساعدي اسحاق</t>
  </si>
  <si>
    <t>سرخي پور نعيم</t>
  </si>
  <si>
    <t>سعيدي منا</t>
  </si>
  <si>
    <t>سياحي رستم</t>
  </si>
  <si>
    <t>شجاعي حسين</t>
  </si>
  <si>
    <t>شريفي حبيب</t>
  </si>
  <si>
    <t>شريفي محمد</t>
  </si>
  <si>
    <t>غلامي عظيم</t>
  </si>
  <si>
    <t>مد مليل مژگان</t>
  </si>
  <si>
    <t>مرحباي علي</t>
  </si>
  <si>
    <t>مزعلي جواد</t>
  </si>
  <si>
    <t>مسيحي شاه بانو</t>
  </si>
  <si>
    <t>نعمتي حامد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</si>
</sst>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7D64-69DA-47B0-9F7A-C6503A039910}">
  <dimension ref="A1:K27"/>
  <sheetViews>
    <sheetView rightToLeft="1" tabSelected="1" workbookViewId="0">
      <selection activeCell="J8" sqref="J8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100904</v>
      </c>
      <c r="C3" s="5" t="s">
        <v>11</v>
      </c>
      <c r="D3" s="6">
        <v>370131</v>
      </c>
      <c r="E3" s="6">
        <v>65143210</v>
      </c>
      <c r="F3" s="8"/>
      <c r="G3" s="8"/>
      <c r="H3" s="6">
        <f t="shared" ref="H3:H26" si="0">F3*D3</f>
        <v>0</v>
      </c>
      <c r="I3" s="6">
        <f t="shared" ref="I3:I26" si="1">(G3*E3)/100</f>
        <v>0</v>
      </c>
    </row>
    <row r="4" spans="1:11" x14ac:dyDescent="0.2">
      <c r="A4" s="4" t="s">
        <v>10</v>
      </c>
      <c r="B4" s="5">
        <v>101383</v>
      </c>
      <c r="C4" s="5" t="s">
        <v>12</v>
      </c>
      <c r="D4" s="6">
        <v>423007</v>
      </c>
      <c r="E4" s="6">
        <v>74449335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100909</v>
      </c>
      <c r="C5" s="5" t="s">
        <v>13</v>
      </c>
      <c r="D5" s="6">
        <v>456237</v>
      </c>
      <c r="E5" s="6">
        <v>71661840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100930</v>
      </c>
      <c r="C6" s="5" t="s">
        <v>14</v>
      </c>
      <c r="D6" s="6">
        <v>167917</v>
      </c>
      <c r="E6" s="6">
        <v>29553480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915934235</v>
      </c>
    </row>
    <row r="7" spans="1:11" ht="22.5" x14ac:dyDescent="0.6">
      <c r="A7" s="4" t="s">
        <v>10</v>
      </c>
      <c r="B7" s="5">
        <v>100851</v>
      </c>
      <c r="C7" s="5" t="s">
        <v>16</v>
      </c>
      <c r="D7" s="6">
        <v>493492</v>
      </c>
      <c r="E7" s="6">
        <v>86854751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1030005132</v>
      </c>
    </row>
    <row r="8" spans="1:11" x14ac:dyDescent="0.2">
      <c r="A8" s="4" t="s">
        <v>10</v>
      </c>
      <c r="B8" s="5">
        <v>101071</v>
      </c>
      <c r="C8" s="5" t="s">
        <v>18</v>
      </c>
      <c r="D8" s="6">
        <v>456237</v>
      </c>
      <c r="E8" s="6">
        <v>71661840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100940</v>
      </c>
      <c r="C9" s="5" t="s">
        <v>19</v>
      </c>
      <c r="D9" s="6">
        <v>456237</v>
      </c>
      <c r="E9" s="6">
        <v>71661840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100941</v>
      </c>
      <c r="C10" s="5" t="s">
        <v>20</v>
      </c>
      <c r="D10" s="6">
        <v>456237</v>
      </c>
      <c r="E10" s="6">
        <v>71661840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101309</v>
      </c>
      <c r="C11" s="5" t="s">
        <v>21</v>
      </c>
      <c r="D11" s="6">
        <v>391531</v>
      </c>
      <c r="E11" s="6">
        <v>68909490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101743</v>
      </c>
      <c r="C12" s="5" t="s">
        <v>22</v>
      </c>
      <c r="D12" s="6">
        <v>288579</v>
      </c>
      <c r="E12" s="6">
        <v>50790015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100964</v>
      </c>
      <c r="C13" s="5" t="s">
        <v>23</v>
      </c>
      <c r="D13" s="6">
        <v>456237</v>
      </c>
      <c r="E13" s="6">
        <v>71661840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101754</v>
      </c>
      <c r="C14" s="5" t="s">
        <v>24</v>
      </c>
      <c r="D14" s="6">
        <v>268805</v>
      </c>
      <c r="E14" s="6">
        <v>47309713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100973</v>
      </c>
      <c r="C15" s="5" t="s">
        <v>25</v>
      </c>
      <c r="D15" s="6">
        <v>456237</v>
      </c>
      <c r="E15" s="6">
        <v>71661840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101757</v>
      </c>
      <c r="C16" s="5" t="s">
        <v>26</v>
      </c>
      <c r="D16" s="6">
        <v>298876</v>
      </c>
      <c r="E16" s="6">
        <v>52602297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100980</v>
      </c>
      <c r="C17" s="5" t="s">
        <v>27</v>
      </c>
      <c r="D17" s="6">
        <v>456237</v>
      </c>
      <c r="E17" s="6">
        <v>71661840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100983</v>
      </c>
      <c r="C18" s="5" t="s">
        <v>28</v>
      </c>
      <c r="D18" s="6">
        <v>456237</v>
      </c>
      <c r="E18" s="6">
        <v>71661840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100990</v>
      </c>
      <c r="C19" s="5" t="s">
        <v>29</v>
      </c>
      <c r="D19" s="6">
        <v>456237</v>
      </c>
      <c r="E19" s="6">
        <v>71661840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100991</v>
      </c>
      <c r="C20" s="5" t="s">
        <v>30</v>
      </c>
      <c r="D20" s="6">
        <v>456237</v>
      </c>
      <c r="E20" s="6">
        <v>71661840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101019</v>
      </c>
      <c r="C21" s="5" t="s">
        <v>31</v>
      </c>
      <c r="D21" s="6">
        <v>456237</v>
      </c>
      <c r="E21" s="6">
        <v>71661840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100838</v>
      </c>
      <c r="C22" s="5" t="s">
        <v>32</v>
      </c>
      <c r="D22" s="6">
        <v>456528</v>
      </c>
      <c r="E22" s="6">
        <v>80348998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101044</v>
      </c>
      <c r="C23" s="5" t="s">
        <v>33</v>
      </c>
      <c r="D23" s="6">
        <v>456237</v>
      </c>
      <c r="E23" s="6">
        <v>71661840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101046</v>
      </c>
      <c r="C24" s="5" t="s">
        <v>34</v>
      </c>
      <c r="D24" s="6">
        <v>456237</v>
      </c>
      <c r="E24" s="6">
        <v>71661840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101048</v>
      </c>
      <c r="C25" s="5" t="s">
        <v>35</v>
      </c>
      <c r="D25" s="6">
        <v>367333</v>
      </c>
      <c r="E25" s="6">
        <v>64650652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101865</v>
      </c>
      <c r="C26" s="5" t="s">
        <v>36</v>
      </c>
      <c r="D26" s="6">
        <v>184133</v>
      </c>
      <c r="E26" s="6">
        <v>32407419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H27" s="3">
        <f>SUM(H3:H26)</f>
        <v>0</v>
      </c>
      <c r="I27" s="3">
        <f>SUM(I3:I26)</f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تدارکات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2024-07-29T07:18:01Z</dcterms:created>
  <dcterms:modified xsi:type="dcterms:W3CDTF">2024-07-29T07:18:02Z</dcterms:modified>
</cp:coreProperties>
</file>