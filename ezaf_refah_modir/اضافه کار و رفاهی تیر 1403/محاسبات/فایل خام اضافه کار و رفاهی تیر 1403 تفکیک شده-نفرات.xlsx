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"/>
    </mc:Choice>
  </mc:AlternateContent>
  <xr:revisionPtr revIDLastSave="0" documentId="13_ncr:1_{8096D97A-3570-4FBA-8867-6F68A20E3152}" xr6:coauthVersionLast="47" xr6:coauthVersionMax="47" xr10:uidLastSave="{00000000-0000-0000-0000-000000000000}"/>
  <bookViews>
    <workbookView xWindow="-120" yWindow="-120" windowWidth="29040" windowHeight="15840" tabRatio="945" xr2:uid="{1A36FA55-3623-49EB-B746-40F7FD014618}"/>
  </bookViews>
  <sheets>
    <sheet name="مسجد سلیمان" sheetId="1" r:id="rId1"/>
    <sheet name="شوشتر" sheetId="2" r:id="rId2"/>
    <sheet name="1610" sheetId="3" r:id="rId3"/>
    <sheet name="1611" sheetId="4" r:id="rId4"/>
    <sheet name="هندیجان" sheetId="5" r:id="rId5"/>
    <sheet name="فناوری" sheetId="6" r:id="rId6"/>
    <sheet name="ایذه" sheetId="7" r:id="rId7"/>
    <sheet name="1605" sheetId="8" r:id="rId8"/>
    <sheet name="دزفول" sheetId="9" r:id="rId9"/>
    <sheet name="خرمشهر" sheetId="10" r:id="rId10"/>
    <sheet name="1619" sheetId="11" r:id="rId11"/>
    <sheet name="1615" sheetId="12" r:id="rId12"/>
    <sheet name="ماهشهر" sheetId="13" r:id="rId13"/>
    <sheet name="حراست فیزیکی" sheetId="55" r:id="rId14"/>
    <sheet name="تدارکات" sheetId="14" r:id="rId15"/>
    <sheet name="بندرامام" sheetId="15" r:id="rId16"/>
    <sheet name="1607" sheetId="16" r:id="rId17"/>
    <sheet name="باغملک" sheetId="17" r:id="rId18"/>
    <sheet name="گتوند" sheetId="18" r:id="rId19"/>
    <sheet name="امیدیه" sheetId="19" r:id="rId20"/>
    <sheet name="بهبهان" sheetId="20" r:id="rId21"/>
    <sheet name="1601" sheetId="21" r:id="rId22"/>
    <sheet name="1614" sheetId="22" r:id="rId23"/>
    <sheet name="1618" sheetId="23" r:id="rId24"/>
    <sheet name="ذیحسابی" sheetId="24" r:id="rId25"/>
    <sheet name="1613" sheetId="25" r:id="rId26"/>
    <sheet name="مدیریت" sheetId="26" r:id="rId27"/>
    <sheet name="اموراداری" sheetId="27" r:id="rId28"/>
    <sheet name="بودجه" sheetId="28" r:id="rId29"/>
    <sheet name="1604" sheetId="29" r:id="rId30"/>
    <sheet name="1609" sheetId="30" r:id="rId31"/>
    <sheet name="رامهرمز" sheetId="31" r:id="rId32"/>
    <sheet name="1616" sheetId="32" r:id="rId33"/>
    <sheet name="شادگان" sheetId="33" r:id="rId34"/>
    <sheet name="1603" sheetId="34" r:id="rId35"/>
    <sheet name="اندیمشک" sheetId="35" r:id="rId36"/>
    <sheet name="1620" sheetId="36" r:id="rId37"/>
    <sheet name="دشت آزادگان" sheetId="37" r:id="rId38"/>
    <sheet name="1602" sheetId="38" r:id="rId39"/>
    <sheet name="آغاجاری" sheetId="39" r:id="rId40"/>
    <sheet name="آبادان" sheetId="40" r:id="rId41"/>
    <sheet name="1621" sheetId="41" r:id="rId42"/>
    <sheet name="1606" sheetId="42" r:id="rId43"/>
    <sheet name="1617" sheetId="43" r:id="rId44"/>
    <sheet name="هفتکل" sheetId="44" r:id="rId45"/>
    <sheet name="حقوقی" sheetId="45" r:id="rId46"/>
    <sheet name="1668" sheetId="46" r:id="rId47"/>
    <sheet name="هویزه" sheetId="47" r:id="rId48"/>
    <sheet name="1608" sheetId="48" r:id="rId49"/>
    <sheet name="روابط عمومی" sheetId="49" r:id="rId50"/>
    <sheet name="1612" sheetId="50" r:id="rId51"/>
    <sheet name="لالی" sheetId="51" r:id="rId52"/>
    <sheet name="درآمد" sheetId="52" r:id="rId53"/>
    <sheet name="رامشیر" sheetId="53" r:id="rId54"/>
    <sheet name="آموزش" sheetId="54" r:id="rId5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55" l="1"/>
  <c r="H8" i="55"/>
  <c r="I7" i="55"/>
  <c r="H7" i="55"/>
  <c r="I6" i="55"/>
  <c r="H6" i="55"/>
  <c r="I5" i="55"/>
  <c r="H5" i="55"/>
  <c r="I4" i="55"/>
  <c r="H4" i="55"/>
  <c r="I3" i="55"/>
  <c r="H3" i="55"/>
  <c r="H6" i="54"/>
  <c r="I6" i="54"/>
  <c r="H10" i="53"/>
  <c r="I10" i="53"/>
  <c r="H9" i="52"/>
  <c r="I9" i="52"/>
  <c r="H7" i="51"/>
  <c r="I7" i="51"/>
  <c r="H14" i="50"/>
  <c r="I14" i="50"/>
  <c r="H10" i="49"/>
  <c r="I10" i="49"/>
  <c r="H27" i="48"/>
  <c r="I27" i="48"/>
  <c r="H6" i="47"/>
  <c r="I6" i="47"/>
  <c r="H25" i="46"/>
  <c r="I25" i="46"/>
  <c r="H10" i="45"/>
  <c r="I10" i="45"/>
  <c r="H11" i="44"/>
  <c r="I11" i="44"/>
  <c r="H21" i="43"/>
  <c r="I21" i="43"/>
  <c r="H15" i="42"/>
  <c r="I15" i="42"/>
  <c r="H20" i="41"/>
  <c r="I20" i="41"/>
  <c r="H62" i="40"/>
  <c r="I62" i="40"/>
  <c r="H14" i="39"/>
  <c r="I14" i="39"/>
  <c r="H29" i="38"/>
  <c r="I29" i="38"/>
  <c r="H18" i="37"/>
  <c r="I18" i="37"/>
  <c r="H15" i="36"/>
  <c r="I15" i="36"/>
  <c r="H50" i="35"/>
  <c r="I50" i="35"/>
  <c r="H12" i="33"/>
  <c r="I12" i="33"/>
  <c r="H15" i="32"/>
  <c r="I15" i="32"/>
  <c r="H24" i="31"/>
  <c r="I24" i="31"/>
  <c r="H16" i="30"/>
  <c r="I16" i="30"/>
  <c r="H35" i="29"/>
  <c r="I35" i="29"/>
  <c r="H5" i="28"/>
  <c r="I5" i="28"/>
  <c r="H17" i="27"/>
  <c r="I17" i="27"/>
  <c r="H22" i="25"/>
  <c r="I22" i="25"/>
  <c r="H15" i="24"/>
  <c r="I15" i="24"/>
  <c r="H20" i="23"/>
  <c r="I20" i="23"/>
  <c r="H17" i="22"/>
  <c r="I17" i="22"/>
  <c r="H18" i="21"/>
  <c r="I18" i="21"/>
  <c r="H61" i="20"/>
  <c r="I61" i="20"/>
  <c r="H21" i="19"/>
  <c r="I21" i="19"/>
  <c r="H20" i="18"/>
  <c r="I20" i="18"/>
  <c r="H17" i="17"/>
  <c r="I17" i="17"/>
  <c r="H27" i="16"/>
  <c r="I27" i="16"/>
  <c r="H32" i="15"/>
  <c r="I32" i="15"/>
  <c r="I44" i="13"/>
  <c r="H44" i="13"/>
  <c r="H21" i="12"/>
  <c r="I21" i="12"/>
  <c r="H21" i="11"/>
  <c r="I21" i="11"/>
  <c r="H37" i="10"/>
  <c r="H92" i="9"/>
  <c r="I92" i="9"/>
  <c r="H38" i="8"/>
  <c r="I38" i="8"/>
  <c r="H35" i="7"/>
  <c r="I35" i="7"/>
  <c r="H22" i="6"/>
  <c r="I22" i="6"/>
  <c r="I11" i="5"/>
  <c r="H24" i="4"/>
  <c r="I24" i="4"/>
  <c r="H31" i="3"/>
  <c r="I31" i="3"/>
  <c r="H40" i="2"/>
  <c r="I40" i="2"/>
  <c r="I5" i="54"/>
  <c r="H5" i="54"/>
  <c r="I4" i="54"/>
  <c r="H4" i="54"/>
  <c r="I3" i="54"/>
  <c r="H3" i="54"/>
  <c r="I9" i="53"/>
  <c r="H9" i="53"/>
  <c r="I8" i="53"/>
  <c r="H8" i="53"/>
  <c r="I7" i="53"/>
  <c r="H7" i="53"/>
  <c r="I6" i="53"/>
  <c r="H6" i="53"/>
  <c r="I5" i="53"/>
  <c r="H5" i="53"/>
  <c r="I4" i="53"/>
  <c r="H4" i="53"/>
  <c r="I3" i="53"/>
  <c r="H3" i="53"/>
  <c r="I8" i="52"/>
  <c r="H8" i="52"/>
  <c r="I7" i="52"/>
  <c r="H7" i="52"/>
  <c r="I6" i="52"/>
  <c r="H6" i="52"/>
  <c r="I5" i="52"/>
  <c r="H5" i="52"/>
  <c r="I4" i="52"/>
  <c r="H4" i="52"/>
  <c r="I3" i="52"/>
  <c r="H3" i="52"/>
  <c r="I6" i="51"/>
  <c r="H6" i="51"/>
  <c r="I5" i="51"/>
  <c r="H5" i="51"/>
  <c r="I4" i="51"/>
  <c r="H4" i="51"/>
  <c r="I3" i="51"/>
  <c r="H3" i="51"/>
  <c r="I13" i="50"/>
  <c r="H13" i="50"/>
  <c r="I12" i="50"/>
  <c r="H12" i="50"/>
  <c r="I11" i="50"/>
  <c r="H11" i="50"/>
  <c r="I10" i="50"/>
  <c r="H10" i="50"/>
  <c r="I9" i="50"/>
  <c r="H9" i="50"/>
  <c r="I8" i="50"/>
  <c r="H8" i="50"/>
  <c r="I7" i="50"/>
  <c r="H7" i="50"/>
  <c r="I6" i="50"/>
  <c r="H6" i="50"/>
  <c r="I5" i="50"/>
  <c r="H5" i="50"/>
  <c r="I4" i="50"/>
  <c r="H4" i="50"/>
  <c r="I3" i="50"/>
  <c r="H3" i="50"/>
  <c r="I9" i="49"/>
  <c r="H9" i="49"/>
  <c r="I8" i="49"/>
  <c r="H8" i="49"/>
  <c r="I7" i="49"/>
  <c r="H7" i="49"/>
  <c r="I6" i="49"/>
  <c r="H6" i="49"/>
  <c r="I5" i="49"/>
  <c r="H5" i="49"/>
  <c r="I4" i="49"/>
  <c r="H4" i="49"/>
  <c r="I3" i="49"/>
  <c r="H3" i="49"/>
  <c r="I26" i="48"/>
  <c r="H26" i="48"/>
  <c r="I25" i="48"/>
  <c r="H25" i="48"/>
  <c r="I24" i="48"/>
  <c r="H24" i="48"/>
  <c r="I23" i="48"/>
  <c r="H23" i="48"/>
  <c r="I22" i="48"/>
  <c r="H22" i="48"/>
  <c r="I21" i="48"/>
  <c r="H21" i="48"/>
  <c r="I20" i="48"/>
  <c r="H20" i="48"/>
  <c r="I19" i="48"/>
  <c r="H19" i="48"/>
  <c r="I18" i="48"/>
  <c r="H18" i="48"/>
  <c r="I17" i="48"/>
  <c r="H17" i="48"/>
  <c r="I16" i="48"/>
  <c r="H16" i="48"/>
  <c r="I15" i="48"/>
  <c r="H15" i="48"/>
  <c r="I14" i="48"/>
  <c r="H14" i="48"/>
  <c r="I13" i="48"/>
  <c r="H13" i="48"/>
  <c r="I12" i="48"/>
  <c r="H12" i="48"/>
  <c r="I11" i="48"/>
  <c r="H11" i="48"/>
  <c r="I10" i="48"/>
  <c r="H10" i="48"/>
  <c r="I9" i="48"/>
  <c r="H9" i="48"/>
  <c r="I8" i="48"/>
  <c r="H8" i="48"/>
  <c r="I7" i="48"/>
  <c r="H7" i="48"/>
  <c r="I6" i="48"/>
  <c r="H6" i="48"/>
  <c r="I5" i="48"/>
  <c r="H5" i="48"/>
  <c r="I4" i="48"/>
  <c r="H4" i="48"/>
  <c r="I3" i="48"/>
  <c r="H3" i="48"/>
  <c r="I5" i="47"/>
  <c r="H5" i="47"/>
  <c r="I4" i="47"/>
  <c r="H4" i="47"/>
  <c r="I3" i="47"/>
  <c r="H3" i="47"/>
  <c r="I24" i="46"/>
  <c r="H24" i="46"/>
  <c r="I23" i="46"/>
  <c r="H23" i="46"/>
  <c r="I22" i="46"/>
  <c r="H22" i="46"/>
  <c r="I21" i="46"/>
  <c r="H21" i="46"/>
  <c r="I20" i="46"/>
  <c r="H20" i="46"/>
  <c r="I19" i="46"/>
  <c r="H19" i="46"/>
  <c r="I18" i="46"/>
  <c r="H18" i="46"/>
  <c r="I17" i="46"/>
  <c r="H17" i="46"/>
  <c r="I16" i="46"/>
  <c r="H16" i="46"/>
  <c r="I15" i="46"/>
  <c r="H15" i="46"/>
  <c r="I14" i="46"/>
  <c r="H14" i="46"/>
  <c r="I13" i="46"/>
  <c r="H13" i="46"/>
  <c r="I12" i="46"/>
  <c r="H12" i="46"/>
  <c r="I11" i="46"/>
  <c r="H11" i="46"/>
  <c r="I10" i="46"/>
  <c r="H10" i="46"/>
  <c r="I9" i="46"/>
  <c r="H9" i="46"/>
  <c r="I8" i="46"/>
  <c r="H8" i="46"/>
  <c r="I7" i="46"/>
  <c r="H7" i="46"/>
  <c r="I6" i="46"/>
  <c r="H6" i="46"/>
  <c r="I5" i="46"/>
  <c r="H5" i="46"/>
  <c r="I4" i="46"/>
  <c r="H4" i="46"/>
  <c r="I3" i="46"/>
  <c r="H3" i="46"/>
  <c r="I9" i="45"/>
  <c r="H9" i="45"/>
  <c r="I8" i="45"/>
  <c r="H8" i="45"/>
  <c r="I7" i="45"/>
  <c r="H7" i="45"/>
  <c r="I6" i="45"/>
  <c r="H6" i="45"/>
  <c r="I5" i="45"/>
  <c r="H5" i="45"/>
  <c r="I4" i="45"/>
  <c r="H4" i="45"/>
  <c r="I3" i="45"/>
  <c r="H3" i="45"/>
  <c r="I10" i="44"/>
  <c r="H10" i="44"/>
  <c r="I9" i="44"/>
  <c r="H9" i="44"/>
  <c r="I8" i="44"/>
  <c r="H8" i="44"/>
  <c r="I7" i="44"/>
  <c r="H7" i="44"/>
  <c r="I6" i="44"/>
  <c r="H6" i="44"/>
  <c r="I5" i="44"/>
  <c r="H5" i="44"/>
  <c r="I4" i="44"/>
  <c r="H4" i="44"/>
  <c r="I3" i="44"/>
  <c r="H3" i="44"/>
  <c r="I20" i="43"/>
  <c r="H20" i="43"/>
  <c r="I19" i="43"/>
  <c r="H19" i="43"/>
  <c r="I18" i="43"/>
  <c r="H18" i="43"/>
  <c r="I17" i="43"/>
  <c r="H17" i="43"/>
  <c r="I16" i="43"/>
  <c r="H16" i="43"/>
  <c r="I15" i="43"/>
  <c r="H15" i="43"/>
  <c r="I14" i="43"/>
  <c r="H14" i="43"/>
  <c r="I13" i="43"/>
  <c r="H13" i="43"/>
  <c r="I12" i="43"/>
  <c r="H12" i="43"/>
  <c r="I11" i="43"/>
  <c r="H11" i="43"/>
  <c r="I10" i="43"/>
  <c r="H10" i="43"/>
  <c r="I9" i="43"/>
  <c r="H9" i="43"/>
  <c r="I8" i="43"/>
  <c r="H8" i="43"/>
  <c r="I7" i="43"/>
  <c r="H7" i="43"/>
  <c r="I6" i="43"/>
  <c r="H6" i="43"/>
  <c r="I5" i="43"/>
  <c r="H5" i="43"/>
  <c r="I4" i="43"/>
  <c r="H4" i="43"/>
  <c r="I3" i="43"/>
  <c r="H3" i="43"/>
  <c r="I14" i="42"/>
  <c r="H14" i="42"/>
  <c r="I13" i="42"/>
  <c r="H13" i="42"/>
  <c r="I12" i="42"/>
  <c r="H12" i="42"/>
  <c r="I11" i="42"/>
  <c r="H11" i="42"/>
  <c r="I10" i="42"/>
  <c r="H10" i="42"/>
  <c r="I9" i="42"/>
  <c r="H9" i="42"/>
  <c r="I8" i="42"/>
  <c r="H8" i="42"/>
  <c r="I7" i="42"/>
  <c r="H7" i="42"/>
  <c r="I6" i="42"/>
  <c r="H6" i="42"/>
  <c r="I5" i="42"/>
  <c r="H5" i="42"/>
  <c r="I4" i="42"/>
  <c r="H4" i="42"/>
  <c r="I3" i="42"/>
  <c r="H3" i="42"/>
  <c r="I19" i="41"/>
  <c r="H19" i="41"/>
  <c r="I18" i="41"/>
  <c r="H18" i="41"/>
  <c r="I17" i="41"/>
  <c r="H17" i="41"/>
  <c r="I16" i="41"/>
  <c r="H16" i="41"/>
  <c r="I15" i="41"/>
  <c r="H15" i="41"/>
  <c r="I14" i="41"/>
  <c r="H14" i="41"/>
  <c r="I13" i="41"/>
  <c r="H13" i="41"/>
  <c r="I12" i="41"/>
  <c r="H12" i="41"/>
  <c r="I11" i="41"/>
  <c r="H11" i="41"/>
  <c r="I10" i="41"/>
  <c r="H10" i="41"/>
  <c r="I9" i="41"/>
  <c r="H9" i="41"/>
  <c r="I8" i="41"/>
  <c r="H8" i="41"/>
  <c r="I7" i="41"/>
  <c r="H7" i="41"/>
  <c r="I6" i="41"/>
  <c r="H6" i="41"/>
  <c r="I5" i="41"/>
  <c r="H5" i="41"/>
  <c r="I4" i="41"/>
  <c r="H4" i="41"/>
  <c r="I3" i="41"/>
  <c r="H3" i="41"/>
  <c r="I61" i="40"/>
  <c r="H61" i="40"/>
  <c r="I60" i="40"/>
  <c r="H60" i="40"/>
  <c r="I59" i="40"/>
  <c r="H59" i="40"/>
  <c r="I58" i="40"/>
  <c r="H58" i="40"/>
  <c r="I57" i="40"/>
  <c r="H57" i="40"/>
  <c r="I56" i="40"/>
  <c r="H56" i="40"/>
  <c r="I55" i="40"/>
  <c r="H55" i="40"/>
  <c r="I54" i="40"/>
  <c r="H54" i="40"/>
  <c r="I53" i="40"/>
  <c r="H53" i="40"/>
  <c r="I52" i="40"/>
  <c r="H52" i="40"/>
  <c r="I51" i="40"/>
  <c r="H51" i="40"/>
  <c r="I50" i="40"/>
  <c r="H50" i="40"/>
  <c r="I49" i="40"/>
  <c r="H49" i="40"/>
  <c r="I48" i="40"/>
  <c r="H48" i="40"/>
  <c r="I47" i="40"/>
  <c r="H47" i="40"/>
  <c r="I46" i="40"/>
  <c r="H46" i="40"/>
  <c r="I45" i="40"/>
  <c r="H45" i="40"/>
  <c r="I44" i="40"/>
  <c r="H44" i="40"/>
  <c r="I43" i="40"/>
  <c r="H43" i="40"/>
  <c r="I42" i="40"/>
  <c r="H42" i="40"/>
  <c r="I41" i="40"/>
  <c r="H41" i="40"/>
  <c r="I40" i="40"/>
  <c r="H40" i="40"/>
  <c r="I39" i="40"/>
  <c r="H39" i="40"/>
  <c r="I38" i="40"/>
  <c r="H38" i="40"/>
  <c r="I37" i="40"/>
  <c r="H37" i="40"/>
  <c r="I36" i="40"/>
  <c r="H36" i="40"/>
  <c r="I35" i="40"/>
  <c r="H35" i="40"/>
  <c r="I34" i="40"/>
  <c r="H34" i="40"/>
  <c r="I33" i="40"/>
  <c r="H33" i="40"/>
  <c r="I32" i="40"/>
  <c r="H32" i="40"/>
  <c r="I31" i="40"/>
  <c r="H31" i="40"/>
  <c r="I30" i="40"/>
  <c r="H30" i="40"/>
  <c r="I29" i="40"/>
  <c r="H29" i="40"/>
  <c r="I28" i="40"/>
  <c r="H28" i="40"/>
  <c r="I27" i="40"/>
  <c r="H27" i="40"/>
  <c r="I26" i="40"/>
  <c r="H26" i="40"/>
  <c r="I25" i="40"/>
  <c r="H25" i="40"/>
  <c r="I24" i="40"/>
  <c r="H24" i="40"/>
  <c r="I23" i="40"/>
  <c r="H23" i="40"/>
  <c r="I22" i="40"/>
  <c r="H22" i="40"/>
  <c r="I21" i="40"/>
  <c r="H21" i="40"/>
  <c r="I20" i="40"/>
  <c r="H20" i="40"/>
  <c r="I19" i="40"/>
  <c r="H19" i="40"/>
  <c r="I18" i="40"/>
  <c r="H18" i="40"/>
  <c r="I17" i="40"/>
  <c r="H17" i="40"/>
  <c r="I16" i="40"/>
  <c r="H16" i="40"/>
  <c r="I15" i="40"/>
  <c r="H15" i="40"/>
  <c r="I14" i="40"/>
  <c r="H14" i="40"/>
  <c r="I13" i="40"/>
  <c r="H13" i="40"/>
  <c r="I12" i="40"/>
  <c r="H12" i="40"/>
  <c r="I11" i="40"/>
  <c r="H11" i="40"/>
  <c r="I10" i="40"/>
  <c r="H10" i="40"/>
  <c r="I9" i="40"/>
  <c r="H9" i="40"/>
  <c r="I8" i="40"/>
  <c r="H8" i="40"/>
  <c r="I7" i="40"/>
  <c r="H7" i="40"/>
  <c r="I6" i="40"/>
  <c r="H6" i="40"/>
  <c r="I5" i="40"/>
  <c r="H5" i="40"/>
  <c r="I4" i="40"/>
  <c r="H4" i="40"/>
  <c r="I3" i="40"/>
  <c r="H3" i="40"/>
  <c r="I13" i="39"/>
  <c r="H13" i="39"/>
  <c r="I12" i="39"/>
  <c r="H12" i="39"/>
  <c r="I11" i="39"/>
  <c r="H11" i="39"/>
  <c r="I10" i="39"/>
  <c r="H10" i="39"/>
  <c r="I9" i="39"/>
  <c r="H9" i="39"/>
  <c r="I8" i="39"/>
  <c r="H8" i="39"/>
  <c r="I7" i="39"/>
  <c r="H7" i="39"/>
  <c r="I6" i="39"/>
  <c r="H6" i="39"/>
  <c r="I5" i="39"/>
  <c r="H5" i="39"/>
  <c r="I4" i="39"/>
  <c r="H4" i="39"/>
  <c r="I3" i="39"/>
  <c r="H3" i="39"/>
  <c r="I28" i="38"/>
  <c r="H28" i="38"/>
  <c r="I27" i="38"/>
  <c r="H27" i="38"/>
  <c r="I26" i="38"/>
  <c r="H26" i="38"/>
  <c r="I25" i="38"/>
  <c r="H25" i="38"/>
  <c r="I24" i="38"/>
  <c r="H24" i="38"/>
  <c r="I23" i="38"/>
  <c r="H23" i="38"/>
  <c r="I22" i="38"/>
  <c r="H22" i="38"/>
  <c r="I21" i="38"/>
  <c r="H21" i="38"/>
  <c r="I20" i="38"/>
  <c r="H20" i="38"/>
  <c r="I19" i="38"/>
  <c r="H19" i="38"/>
  <c r="I18" i="38"/>
  <c r="H18" i="38"/>
  <c r="I17" i="38"/>
  <c r="H17" i="38"/>
  <c r="I16" i="38"/>
  <c r="H16" i="38"/>
  <c r="I15" i="38"/>
  <c r="H15" i="38"/>
  <c r="I14" i="38"/>
  <c r="H14" i="38"/>
  <c r="I13" i="38"/>
  <c r="H13" i="38"/>
  <c r="I12" i="38"/>
  <c r="H12" i="38"/>
  <c r="I11" i="38"/>
  <c r="H11" i="38"/>
  <c r="I10" i="38"/>
  <c r="H10" i="38"/>
  <c r="I9" i="38"/>
  <c r="H9" i="38"/>
  <c r="I8" i="38"/>
  <c r="H8" i="38"/>
  <c r="I7" i="38"/>
  <c r="H7" i="38"/>
  <c r="I6" i="38"/>
  <c r="H6" i="38"/>
  <c r="I5" i="38"/>
  <c r="H5" i="38"/>
  <c r="I4" i="38"/>
  <c r="H4" i="38"/>
  <c r="I3" i="38"/>
  <c r="H3" i="38"/>
  <c r="I17" i="37"/>
  <c r="H17" i="37"/>
  <c r="I16" i="37"/>
  <c r="H16" i="37"/>
  <c r="I15" i="37"/>
  <c r="H15" i="37"/>
  <c r="I14" i="37"/>
  <c r="H14" i="37"/>
  <c r="I13" i="37"/>
  <c r="H13" i="37"/>
  <c r="I12" i="37"/>
  <c r="H12" i="37"/>
  <c r="I11" i="37"/>
  <c r="H11" i="37"/>
  <c r="I10" i="37"/>
  <c r="H10" i="37"/>
  <c r="I9" i="37"/>
  <c r="H9" i="37"/>
  <c r="I8" i="37"/>
  <c r="H8" i="37"/>
  <c r="I7" i="37"/>
  <c r="H7" i="37"/>
  <c r="I6" i="37"/>
  <c r="H6" i="37"/>
  <c r="I5" i="37"/>
  <c r="H5" i="37"/>
  <c r="I4" i="37"/>
  <c r="H4" i="37"/>
  <c r="I3" i="37"/>
  <c r="H3" i="37"/>
  <c r="I14" i="36"/>
  <c r="H14" i="36"/>
  <c r="I13" i="36"/>
  <c r="H13" i="36"/>
  <c r="I12" i="36"/>
  <c r="H12" i="36"/>
  <c r="I11" i="36"/>
  <c r="H11" i="36"/>
  <c r="I10" i="36"/>
  <c r="H10" i="36"/>
  <c r="I9" i="36"/>
  <c r="H9" i="36"/>
  <c r="I8" i="36"/>
  <c r="H8" i="36"/>
  <c r="I7" i="36"/>
  <c r="H7" i="36"/>
  <c r="I6" i="36"/>
  <c r="H6" i="36"/>
  <c r="I5" i="36"/>
  <c r="H5" i="36"/>
  <c r="I4" i="36"/>
  <c r="H4" i="36"/>
  <c r="I3" i="36"/>
  <c r="H3" i="36"/>
  <c r="I49" i="35"/>
  <c r="H49" i="35"/>
  <c r="I48" i="35"/>
  <c r="H48" i="35"/>
  <c r="I47" i="35"/>
  <c r="H47" i="35"/>
  <c r="I46" i="35"/>
  <c r="H46" i="35"/>
  <c r="I45" i="35"/>
  <c r="H45" i="35"/>
  <c r="I44" i="35"/>
  <c r="H44" i="35"/>
  <c r="I43" i="35"/>
  <c r="H43" i="35"/>
  <c r="I42" i="35"/>
  <c r="H42" i="35"/>
  <c r="I41" i="35"/>
  <c r="H41" i="35"/>
  <c r="I40" i="35"/>
  <c r="H40" i="35"/>
  <c r="I39" i="35"/>
  <c r="H39" i="35"/>
  <c r="I38" i="35"/>
  <c r="H38" i="35"/>
  <c r="I37" i="35"/>
  <c r="H37" i="35"/>
  <c r="I36" i="35"/>
  <c r="H36" i="35"/>
  <c r="I35" i="35"/>
  <c r="H35" i="35"/>
  <c r="I34" i="35"/>
  <c r="H34" i="35"/>
  <c r="I33" i="35"/>
  <c r="H33" i="35"/>
  <c r="I32" i="35"/>
  <c r="H32" i="35"/>
  <c r="I31" i="35"/>
  <c r="H31" i="35"/>
  <c r="I30" i="35"/>
  <c r="H30" i="35"/>
  <c r="I29" i="35"/>
  <c r="H29" i="35"/>
  <c r="I28" i="35"/>
  <c r="H28" i="35"/>
  <c r="I27" i="35"/>
  <c r="H27" i="35"/>
  <c r="I26" i="35"/>
  <c r="H26" i="35"/>
  <c r="I25" i="35"/>
  <c r="H25" i="35"/>
  <c r="I24" i="35"/>
  <c r="H24" i="35"/>
  <c r="I23" i="35"/>
  <c r="H23" i="35"/>
  <c r="I22" i="35"/>
  <c r="H22" i="35"/>
  <c r="I21" i="35"/>
  <c r="H21" i="35"/>
  <c r="I20" i="35"/>
  <c r="H20" i="35"/>
  <c r="I19" i="35"/>
  <c r="H19" i="35"/>
  <c r="I18" i="35"/>
  <c r="H18" i="35"/>
  <c r="I17" i="35"/>
  <c r="H17" i="35"/>
  <c r="I16" i="35"/>
  <c r="H16" i="35"/>
  <c r="I15" i="35"/>
  <c r="H15" i="35"/>
  <c r="I14" i="35"/>
  <c r="H14" i="35"/>
  <c r="I13" i="35"/>
  <c r="H13" i="35"/>
  <c r="I12" i="35"/>
  <c r="H12" i="35"/>
  <c r="I11" i="35"/>
  <c r="H11" i="35"/>
  <c r="I10" i="35"/>
  <c r="H10" i="35"/>
  <c r="I9" i="35"/>
  <c r="H9" i="35"/>
  <c r="I8" i="35"/>
  <c r="H8" i="35"/>
  <c r="I7" i="35"/>
  <c r="H7" i="35"/>
  <c r="I6" i="35"/>
  <c r="H6" i="35"/>
  <c r="I5" i="35"/>
  <c r="H5" i="35"/>
  <c r="I4" i="35"/>
  <c r="H4" i="35"/>
  <c r="I3" i="35"/>
  <c r="H3" i="35"/>
  <c r="I26" i="34"/>
  <c r="H26" i="34"/>
  <c r="I25" i="34"/>
  <c r="H25" i="34"/>
  <c r="I24" i="34"/>
  <c r="H24" i="34"/>
  <c r="I23" i="34"/>
  <c r="H23" i="34"/>
  <c r="I22" i="34"/>
  <c r="H22" i="34"/>
  <c r="I21" i="34"/>
  <c r="H21" i="34"/>
  <c r="I20" i="34"/>
  <c r="H20" i="34"/>
  <c r="I19" i="34"/>
  <c r="H19" i="34"/>
  <c r="I18" i="34"/>
  <c r="H18" i="34"/>
  <c r="I17" i="34"/>
  <c r="H17" i="34"/>
  <c r="I16" i="34"/>
  <c r="H16" i="34"/>
  <c r="I15" i="34"/>
  <c r="H15" i="34"/>
  <c r="I14" i="34"/>
  <c r="H14" i="34"/>
  <c r="I13" i="34"/>
  <c r="H13" i="34"/>
  <c r="I12" i="34"/>
  <c r="H12" i="34"/>
  <c r="I11" i="34"/>
  <c r="H11" i="34"/>
  <c r="I10" i="34"/>
  <c r="H10" i="34"/>
  <c r="I9" i="34"/>
  <c r="H9" i="34"/>
  <c r="I8" i="34"/>
  <c r="H8" i="34"/>
  <c r="I7" i="34"/>
  <c r="H7" i="34"/>
  <c r="I6" i="34"/>
  <c r="H6" i="34"/>
  <c r="I5" i="34"/>
  <c r="H5" i="34"/>
  <c r="I4" i="34"/>
  <c r="H4" i="34"/>
  <c r="I3" i="34"/>
  <c r="H3" i="34"/>
  <c r="I11" i="33"/>
  <c r="H11" i="33"/>
  <c r="I10" i="33"/>
  <c r="H10" i="33"/>
  <c r="I9" i="33"/>
  <c r="H9" i="33"/>
  <c r="I8" i="33"/>
  <c r="H8" i="33"/>
  <c r="I7" i="33"/>
  <c r="H7" i="33"/>
  <c r="I6" i="33"/>
  <c r="H6" i="33"/>
  <c r="I5" i="33"/>
  <c r="H5" i="33"/>
  <c r="I4" i="33"/>
  <c r="H4" i="33"/>
  <c r="I3" i="33"/>
  <c r="H3" i="33"/>
  <c r="I14" i="32"/>
  <c r="H14" i="32"/>
  <c r="I13" i="32"/>
  <c r="H13" i="32"/>
  <c r="I12" i="32"/>
  <c r="H12" i="32"/>
  <c r="I11" i="32"/>
  <c r="H11" i="32"/>
  <c r="I10" i="32"/>
  <c r="H10" i="32"/>
  <c r="I9" i="32"/>
  <c r="H9" i="32"/>
  <c r="I8" i="32"/>
  <c r="H8" i="32"/>
  <c r="I7" i="32"/>
  <c r="H7" i="32"/>
  <c r="I6" i="32"/>
  <c r="H6" i="32"/>
  <c r="I5" i="32"/>
  <c r="H5" i="32"/>
  <c r="I4" i="32"/>
  <c r="H4" i="32"/>
  <c r="I3" i="32"/>
  <c r="H3" i="32"/>
  <c r="I23" i="31"/>
  <c r="H23" i="31"/>
  <c r="I22" i="31"/>
  <c r="H22" i="31"/>
  <c r="I21" i="31"/>
  <c r="H21" i="31"/>
  <c r="I20" i="31"/>
  <c r="H20" i="31"/>
  <c r="I19" i="31"/>
  <c r="H19" i="31"/>
  <c r="I18" i="31"/>
  <c r="H18" i="31"/>
  <c r="I17" i="31"/>
  <c r="H17" i="31"/>
  <c r="I16" i="31"/>
  <c r="H16" i="31"/>
  <c r="I15" i="31"/>
  <c r="H15" i="31"/>
  <c r="I14" i="31"/>
  <c r="H14" i="31"/>
  <c r="I13" i="31"/>
  <c r="H13" i="31"/>
  <c r="I12" i="31"/>
  <c r="H12" i="31"/>
  <c r="I11" i="31"/>
  <c r="H11" i="31"/>
  <c r="I10" i="31"/>
  <c r="H10" i="31"/>
  <c r="I9" i="31"/>
  <c r="H9" i="31"/>
  <c r="I8" i="31"/>
  <c r="H8" i="31"/>
  <c r="I7" i="31"/>
  <c r="H7" i="31"/>
  <c r="I6" i="31"/>
  <c r="H6" i="31"/>
  <c r="I5" i="31"/>
  <c r="H5" i="31"/>
  <c r="I4" i="31"/>
  <c r="H4" i="31"/>
  <c r="I3" i="31"/>
  <c r="H3" i="31"/>
  <c r="I15" i="30"/>
  <c r="H15" i="30"/>
  <c r="I14" i="30"/>
  <c r="H14" i="30"/>
  <c r="I13" i="30"/>
  <c r="H13" i="30"/>
  <c r="I12" i="30"/>
  <c r="H12" i="30"/>
  <c r="I11" i="30"/>
  <c r="H11" i="30"/>
  <c r="I10" i="30"/>
  <c r="H10" i="30"/>
  <c r="I9" i="30"/>
  <c r="H9" i="30"/>
  <c r="I8" i="30"/>
  <c r="H8" i="30"/>
  <c r="I7" i="30"/>
  <c r="H7" i="30"/>
  <c r="I6" i="30"/>
  <c r="H6" i="30"/>
  <c r="I5" i="30"/>
  <c r="H5" i="30"/>
  <c r="I4" i="30"/>
  <c r="H4" i="30"/>
  <c r="I3" i="30"/>
  <c r="H3" i="30"/>
  <c r="I34" i="29"/>
  <c r="H34" i="29"/>
  <c r="I33" i="29"/>
  <c r="H33" i="29"/>
  <c r="I32" i="29"/>
  <c r="H32" i="29"/>
  <c r="I31" i="29"/>
  <c r="H31" i="29"/>
  <c r="I30" i="29"/>
  <c r="H30" i="29"/>
  <c r="I29" i="29"/>
  <c r="H29" i="29"/>
  <c r="I28" i="29"/>
  <c r="H28" i="29"/>
  <c r="I27" i="29"/>
  <c r="H27" i="29"/>
  <c r="I26" i="29"/>
  <c r="H26" i="29"/>
  <c r="I25" i="29"/>
  <c r="H25" i="29"/>
  <c r="I24" i="29"/>
  <c r="H24" i="29"/>
  <c r="I23" i="29"/>
  <c r="H23" i="29"/>
  <c r="I22" i="29"/>
  <c r="H22" i="29"/>
  <c r="I21" i="29"/>
  <c r="H21" i="29"/>
  <c r="I20" i="29"/>
  <c r="H20" i="29"/>
  <c r="I19" i="29"/>
  <c r="H19" i="29"/>
  <c r="I18" i="29"/>
  <c r="H18" i="29"/>
  <c r="I17" i="29"/>
  <c r="H17" i="29"/>
  <c r="I16" i="29"/>
  <c r="H16" i="29"/>
  <c r="I15" i="29"/>
  <c r="H15" i="29"/>
  <c r="I14" i="29"/>
  <c r="H14" i="29"/>
  <c r="I13" i="29"/>
  <c r="H13" i="29"/>
  <c r="I12" i="29"/>
  <c r="H12" i="29"/>
  <c r="I11" i="29"/>
  <c r="H11" i="29"/>
  <c r="I10" i="29"/>
  <c r="H10" i="29"/>
  <c r="I9" i="29"/>
  <c r="H9" i="29"/>
  <c r="I8" i="29"/>
  <c r="H8" i="29"/>
  <c r="I7" i="29"/>
  <c r="H7" i="29"/>
  <c r="I6" i="29"/>
  <c r="H6" i="29"/>
  <c r="I5" i="29"/>
  <c r="H5" i="29"/>
  <c r="I4" i="29"/>
  <c r="H4" i="29"/>
  <c r="I3" i="29"/>
  <c r="H3" i="29"/>
  <c r="I4" i="28"/>
  <c r="H4" i="28"/>
  <c r="I3" i="28"/>
  <c r="H3" i="28"/>
  <c r="I16" i="27"/>
  <c r="H16" i="27"/>
  <c r="I15" i="27"/>
  <c r="H15" i="27"/>
  <c r="I14" i="27"/>
  <c r="H14" i="27"/>
  <c r="I13" i="27"/>
  <c r="H13" i="27"/>
  <c r="I12" i="27"/>
  <c r="H12" i="27"/>
  <c r="I11" i="27"/>
  <c r="H11" i="27"/>
  <c r="I10" i="27"/>
  <c r="H10" i="27"/>
  <c r="I9" i="27"/>
  <c r="H9" i="27"/>
  <c r="I8" i="27"/>
  <c r="H8" i="27"/>
  <c r="I7" i="27"/>
  <c r="H7" i="27"/>
  <c r="I6" i="27"/>
  <c r="H6" i="27"/>
  <c r="I5" i="27"/>
  <c r="H5" i="27"/>
  <c r="I4" i="27"/>
  <c r="H4" i="27"/>
  <c r="I3" i="27"/>
  <c r="H3" i="27"/>
  <c r="I92" i="26"/>
  <c r="H92" i="26"/>
  <c r="I91" i="26"/>
  <c r="H91" i="26"/>
  <c r="I90" i="26"/>
  <c r="H90" i="26"/>
  <c r="I89" i="26"/>
  <c r="H89" i="26"/>
  <c r="I88" i="26"/>
  <c r="H88" i="26"/>
  <c r="I87" i="26"/>
  <c r="H87" i="26"/>
  <c r="I86" i="26"/>
  <c r="H86" i="26"/>
  <c r="I85" i="26"/>
  <c r="H85" i="26"/>
  <c r="I84" i="26"/>
  <c r="H84" i="26"/>
  <c r="I83" i="26"/>
  <c r="H83" i="26"/>
  <c r="I82" i="26"/>
  <c r="H82" i="26"/>
  <c r="I81" i="26"/>
  <c r="H81" i="26"/>
  <c r="I80" i="26"/>
  <c r="H80" i="26"/>
  <c r="I79" i="26"/>
  <c r="H79" i="26"/>
  <c r="I78" i="26"/>
  <c r="H78" i="26"/>
  <c r="I77" i="26"/>
  <c r="H77" i="26"/>
  <c r="I76" i="26"/>
  <c r="H76" i="26"/>
  <c r="I75" i="26"/>
  <c r="H75" i="26"/>
  <c r="I74" i="26"/>
  <c r="H74" i="26"/>
  <c r="I73" i="26"/>
  <c r="H73" i="26"/>
  <c r="I72" i="26"/>
  <c r="H72" i="26"/>
  <c r="I71" i="26"/>
  <c r="H71" i="26"/>
  <c r="I70" i="26"/>
  <c r="H70" i="26"/>
  <c r="I69" i="26"/>
  <c r="H69" i="26"/>
  <c r="I68" i="26"/>
  <c r="H68" i="26"/>
  <c r="I67" i="26"/>
  <c r="H67" i="26"/>
  <c r="I66" i="26"/>
  <c r="H66" i="26"/>
  <c r="I65" i="26"/>
  <c r="H65" i="26"/>
  <c r="I64" i="26"/>
  <c r="H64" i="26"/>
  <c r="I63" i="26"/>
  <c r="H63" i="26"/>
  <c r="I62" i="26"/>
  <c r="H62" i="26"/>
  <c r="I61" i="26"/>
  <c r="H61" i="26"/>
  <c r="I60" i="26"/>
  <c r="H60" i="26"/>
  <c r="I59" i="26"/>
  <c r="H59" i="26"/>
  <c r="I58" i="26"/>
  <c r="H58" i="26"/>
  <c r="I57" i="26"/>
  <c r="H57" i="26"/>
  <c r="I56" i="26"/>
  <c r="H56" i="26"/>
  <c r="I55" i="26"/>
  <c r="H55" i="26"/>
  <c r="I54" i="26"/>
  <c r="H54" i="26"/>
  <c r="I53" i="26"/>
  <c r="H53" i="26"/>
  <c r="I52" i="26"/>
  <c r="H52" i="26"/>
  <c r="I51" i="26"/>
  <c r="H51" i="26"/>
  <c r="I50" i="26"/>
  <c r="H50" i="26"/>
  <c r="I49" i="26"/>
  <c r="H49" i="26"/>
  <c r="I48" i="26"/>
  <c r="H48" i="26"/>
  <c r="I47" i="26"/>
  <c r="H47" i="26"/>
  <c r="I46" i="26"/>
  <c r="H46" i="26"/>
  <c r="I45" i="26"/>
  <c r="H45" i="26"/>
  <c r="I44" i="26"/>
  <c r="H44" i="26"/>
  <c r="I43" i="26"/>
  <c r="H43" i="26"/>
  <c r="I42" i="26"/>
  <c r="H42" i="26"/>
  <c r="I41" i="26"/>
  <c r="H41" i="26"/>
  <c r="I40" i="26"/>
  <c r="H40" i="26"/>
  <c r="I39" i="26"/>
  <c r="H39" i="26"/>
  <c r="I38" i="26"/>
  <c r="H38" i="26"/>
  <c r="I37" i="26"/>
  <c r="H37" i="26"/>
  <c r="I36" i="26"/>
  <c r="H36" i="26"/>
  <c r="I35" i="26"/>
  <c r="H35" i="26"/>
  <c r="I34" i="26"/>
  <c r="H34" i="26"/>
  <c r="I33" i="26"/>
  <c r="H33" i="26"/>
  <c r="I32" i="26"/>
  <c r="H32" i="26"/>
  <c r="I31" i="26"/>
  <c r="H31" i="26"/>
  <c r="I30" i="26"/>
  <c r="H30" i="26"/>
  <c r="I29" i="26"/>
  <c r="H29" i="26"/>
  <c r="I28" i="26"/>
  <c r="H28" i="26"/>
  <c r="I27" i="26"/>
  <c r="H27" i="26"/>
  <c r="I26" i="26"/>
  <c r="H26" i="26"/>
  <c r="I25" i="26"/>
  <c r="H25" i="26"/>
  <c r="I24" i="26"/>
  <c r="H24" i="26"/>
  <c r="I23" i="26"/>
  <c r="H23" i="26"/>
  <c r="I22" i="26"/>
  <c r="H22" i="26"/>
  <c r="I21" i="26"/>
  <c r="H21" i="26"/>
  <c r="I20" i="26"/>
  <c r="H20" i="26"/>
  <c r="I19" i="26"/>
  <c r="H19" i="26"/>
  <c r="I18" i="26"/>
  <c r="H18" i="26"/>
  <c r="I17" i="26"/>
  <c r="H17" i="26"/>
  <c r="I16" i="26"/>
  <c r="H16" i="26"/>
  <c r="I15" i="26"/>
  <c r="H15" i="26"/>
  <c r="I14" i="26"/>
  <c r="H14" i="26"/>
  <c r="I13" i="26"/>
  <c r="H13" i="26"/>
  <c r="I12" i="26"/>
  <c r="H12" i="26"/>
  <c r="I11" i="26"/>
  <c r="H11" i="26"/>
  <c r="I10" i="26"/>
  <c r="H10" i="26"/>
  <c r="I9" i="26"/>
  <c r="H9" i="26"/>
  <c r="I8" i="26"/>
  <c r="H8" i="26"/>
  <c r="I7" i="26"/>
  <c r="H7" i="26"/>
  <c r="I6" i="26"/>
  <c r="H6" i="26"/>
  <c r="I5" i="26"/>
  <c r="H5" i="26"/>
  <c r="I4" i="26"/>
  <c r="H4" i="26"/>
  <c r="I3" i="26"/>
  <c r="H3" i="26"/>
  <c r="I21" i="25"/>
  <c r="H21" i="25"/>
  <c r="I20" i="25"/>
  <c r="H20" i="25"/>
  <c r="I19" i="25"/>
  <c r="H19" i="25"/>
  <c r="I18" i="25"/>
  <c r="H18" i="25"/>
  <c r="I17" i="25"/>
  <c r="H17" i="25"/>
  <c r="I16" i="25"/>
  <c r="H16" i="25"/>
  <c r="I15" i="25"/>
  <c r="H15" i="25"/>
  <c r="I14" i="25"/>
  <c r="H14" i="25"/>
  <c r="I13" i="25"/>
  <c r="H13" i="25"/>
  <c r="I12" i="25"/>
  <c r="H12" i="25"/>
  <c r="I11" i="25"/>
  <c r="H11" i="25"/>
  <c r="I10" i="25"/>
  <c r="H10" i="25"/>
  <c r="I9" i="25"/>
  <c r="H9" i="25"/>
  <c r="I8" i="25"/>
  <c r="H8" i="25"/>
  <c r="I7" i="25"/>
  <c r="H7" i="25"/>
  <c r="I6" i="25"/>
  <c r="H6" i="25"/>
  <c r="I5" i="25"/>
  <c r="H5" i="25"/>
  <c r="I4" i="25"/>
  <c r="H4" i="25"/>
  <c r="I3" i="25"/>
  <c r="H3" i="25"/>
  <c r="I14" i="24"/>
  <c r="H14" i="24"/>
  <c r="I13" i="24"/>
  <c r="H13" i="24"/>
  <c r="I12" i="24"/>
  <c r="H12" i="24"/>
  <c r="I11" i="24"/>
  <c r="H11" i="24"/>
  <c r="I10" i="24"/>
  <c r="H10" i="24"/>
  <c r="I9" i="24"/>
  <c r="H9" i="24"/>
  <c r="I8" i="24"/>
  <c r="H8" i="24"/>
  <c r="I7" i="24"/>
  <c r="H7" i="24"/>
  <c r="I6" i="24"/>
  <c r="H6" i="24"/>
  <c r="I5" i="24"/>
  <c r="H5" i="24"/>
  <c r="I4" i="24"/>
  <c r="H4" i="24"/>
  <c r="I3" i="24"/>
  <c r="H3" i="24"/>
  <c r="I19" i="23"/>
  <c r="H19" i="23"/>
  <c r="I18" i="23"/>
  <c r="H18" i="23"/>
  <c r="I17" i="23"/>
  <c r="H17" i="23"/>
  <c r="I16" i="23"/>
  <c r="H16" i="23"/>
  <c r="I15" i="23"/>
  <c r="H15" i="23"/>
  <c r="I14" i="23"/>
  <c r="H14" i="23"/>
  <c r="I13" i="23"/>
  <c r="H13" i="23"/>
  <c r="I12" i="23"/>
  <c r="H12" i="23"/>
  <c r="I11" i="23"/>
  <c r="H11" i="23"/>
  <c r="I10" i="23"/>
  <c r="H10" i="23"/>
  <c r="I9" i="23"/>
  <c r="H9" i="23"/>
  <c r="I8" i="23"/>
  <c r="H8" i="23"/>
  <c r="I7" i="23"/>
  <c r="H7" i="23"/>
  <c r="I6" i="23"/>
  <c r="H6" i="23"/>
  <c r="I5" i="23"/>
  <c r="H5" i="23"/>
  <c r="I4" i="23"/>
  <c r="H4" i="23"/>
  <c r="I3" i="23"/>
  <c r="H3" i="23"/>
  <c r="I16" i="22"/>
  <c r="H16" i="22"/>
  <c r="I15" i="22"/>
  <c r="H15" i="22"/>
  <c r="I14" i="22"/>
  <c r="H14" i="22"/>
  <c r="I13" i="22"/>
  <c r="H13" i="22"/>
  <c r="I12" i="22"/>
  <c r="H12" i="22"/>
  <c r="I11" i="22"/>
  <c r="H11" i="22"/>
  <c r="I10" i="22"/>
  <c r="H10" i="22"/>
  <c r="I9" i="22"/>
  <c r="H9" i="22"/>
  <c r="I8" i="22"/>
  <c r="H8" i="22"/>
  <c r="I7" i="22"/>
  <c r="H7" i="22"/>
  <c r="I6" i="22"/>
  <c r="H6" i="22"/>
  <c r="I5" i="22"/>
  <c r="H5" i="22"/>
  <c r="I4" i="22"/>
  <c r="H4" i="22"/>
  <c r="I3" i="22"/>
  <c r="H3" i="22"/>
  <c r="I17" i="21"/>
  <c r="H17" i="21"/>
  <c r="I16" i="21"/>
  <c r="H16" i="21"/>
  <c r="I15" i="21"/>
  <c r="H15" i="21"/>
  <c r="I14" i="21"/>
  <c r="H14" i="21"/>
  <c r="I13" i="21"/>
  <c r="H13" i="21"/>
  <c r="I12" i="21"/>
  <c r="H12" i="21"/>
  <c r="I11" i="21"/>
  <c r="H11" i="21"/>
  <c r="I10" i="21"/>
  <c r="H10" i="21"/>
  <c r="I9" i="21"/>
  <c r="H9" i="21"/>
  <c r="I8" i="21"/>
  <c r="H8" i="21"/>
  <c r="I7" i="21"/>
  <c r="H7" i="21"/>
  <c r="I6" i="21"/>
  <c r="H6" i="21"/>
  <c r="I5" i="21"/>
  <c r="H5" i="21"/>
  <c r="I4" i="21"/>
  <c r="H4" i="21"/>
  <c r="I3" i="21"/>
  <c r="H3" i="21"/>
  <c r="I60" i="20"/>
  <c r="H60" i="20"/>
  <c r="I59" i="20"/>
  <c r="H59" i="20"/>
  <c r="I58" i="20"/>
  <c r="H58" i="20"/>
  <c r="I57" i="20"/>
  <c r="H57" i="20"/>
  <c r="I56" i="20"/>
  <c r="H56" i="20"/>
  <c r="I55" i="20"/>
  <c r="H55" i="20"/>
  <c r="I54" i="20"/>
  <c r="H54" i="20"/>
  <c r="I53" i="20"/>
  <c r="H53" i="20"/>
  <c r="I52" i="20"/>
  <c r="H52" i="20"/>
  <c r="I51" i="20"/>
  <c r="H51" i="20"/>
  <c r="I50" i="20"/>
  <c r="H50" i="20"/>
  <c r="I49" i="20"/>
  <c r="H49" i="20"/>
  <c r="I48" i="20"/>
  <c r="H48" i="20"/>
  <c r="I47" i="20"/>
  <c r="H47" i="20"/>
  <c r="I46" i="20"/>
  <c r="H46" i="20"/>
  <c r="I45" i="20"/>
  <c r="H45" i="20"/>
  <c r="I44" i="20"/>
  <c r="H44" i="20"/>
  <c r="I43" i="20"/>
  <c r="H43" i="20"/>
  <c r="I42" i="20"/>
  <c r="H42" i="20"/>
  <c r="I41" i="20"/>
  <c r="H41" i="20"/>
  <c r="I40" i="20"/>
  <c r="H40" i="20"/>
  <c r="I39" i="20"/>
  <c r="H39" i="20"/>
  <c r="I38" i="20"/>
  <c r="H38" i="20"/>
  <c r="I37" i="20"/>
  <c r="H37" i="20"/>
  <c r="I36" i="20"/>
  <c r="H36" i="20"/>
  <c r="I35" i="20"/>
  <c r="H35" i="20"/>
  <c r="I34" i="20"/>
  <c r="H34" i="20"/>
  <c r="I33" i="20"/>
  <c r="H33" i="20"/>
  <c r="I32" i="20"/>
  <c r="H32" i="20"/>
  <c r="I31" i="20"/>
  <c r="H31" i="20"/>
  <c r="I30" i="20"/>
  <c r="H30" i="20"/>
  <c r="I29" i="20"/>
  <c r="H29" i="20"/>
  <c r="I28" i="20"/>
  <c r="H28" i="20"/>
  <c r="I27" i="20"/>
  <c r="H27" i="20"/>
  <c r="I26" i="20"/>
  <c r="H26" i="20"/>
  <c r="I25" i="20"/>
  <c r="H25" i="20"/>
  <c r="I24" i="20"/>
  <c r="H24" i="20"/>
  <c r="I23" i="20"/>
  <c r="H23" i="20"/>
  <c r="I22" i="20"/>
  <c r="H22" i="20"/>
  <c r="I21" i="20"/>
  <c r="H21" i="20"/>
  <c r="I20" i="20"/>
  <c r="H20" i="20"/>
  <c r="I19" i="20"/>
  <c r="H19" i="20"/>
  <c r="I18" i="20"/>
  <c r="H18" i="20"/>
  <c r="I17" i="20"/>
  <c r="H17" i="20"/>
  <c r="I16" i="20"/>
  <c r="H16" i="20"/>
  <c r="I15" i="20"/>
  <c r="H15" i="20"/>
  <c r="I14" i="20"/>
  <c r="H14" i="20"/>
  <c r="I13" i="20"/>
  <c r="H13" i="20"/>
  <c r="I12" i="20"/>
  <c r="H12" i="20"/>
  <c r="I11" i="20"/>
  <c r="H11" i="20"/>
  <c r="I10" i="20"/>
  <c r="H10" i="20"/>
  <c r="I9" i="20"/>
  <c r="H9" i="20"/>
  <c r="I8" i="20"/>
  <c r="H8" i="20"/>
  <c r="I7" i="20"/>
  <c r="H7" i="20"/>
  <c r="I6" i="20"/>
  <c r="H6" i="20"/>
  <c r="I5" i="20"/>
  <c r="H5" i="20"/>
  <c r="I4" i="20"/>
  <c r="H4" i="20"/>
  <c r="I3" i="20"/>
  <c r="H3" i="20"/>
  <c r="I20" i="19"/>
  <c r="H20" i="19"/>
  <c r="I19" i="19"/>
  <c r="H19" i="19"/>
  <c r="I18" i="19"/>
  <c r="H18" i="19"/>
  <c r="I17" i="19"/>
  <c r="H17" i="19"/>
  <c r="I16" i="19"/>
  <c r="H16" i="19"/>
  <c r="I15" i="19"/>
  <c r="H15" i="19"/>
  <c r="I14" i="19"/>
  <c r="H14" i="19"/>
  <c r="I13" i="19"/>
  <c r="H13" i="19"/>
  <c r="I12" i="19"/>
  <c r="H12" i="19"/>
  <c r="I11" i="19"/>
  <c r="H11" i="19"/>
  <c r="I10" i="19"/>
  <c r="H10" i="19"/>
  <c r="I9" i="19"/>
  <c r="H9" i="19"/>
  <c r="I8" i="19"/>
  <c r="H8" i="19"/>
  <c r="I7" i="19"/>
  <c r="H7" i="19"/>
  <c r="I6" i="19"/>
  <c r="H6" i="19"/>
  <c r="I5" i="19"/>
  <c r="H5" i="19"/>
  <c r="I4" i="19"/>
  <c r="H4" i="19"/>
  <c r="I3" i="19"/>
  <c r="H3" i="19"/>
  <c r="I19" i="18"/>
  <c r="H19" i="18"/>
  <c r="I18" i="18"/>
  <c r="H18" i="18"/>
  <c r="I17" i="18"/>
  <c r="H17" i="18"/>
  <c r="I16" i="18"/>
  <c r="H16" i="18"/>
  <c r="I15" i="18"/>
  <c r="H15" i="18"/>
  <c r="I14" i="18"/>
  <c r="H14" i="18"/>
  <c r="I13" i="18"/>
  <c r="H13" i="18"/>
  <c r="I12" i="18"/>
  <c r="H12" i="18"/>
  <c r="I11" i="18"/>
  <c r="H11" i="18"/>
  <c r="I10" i="18"/>
  <c r="H10" i="18"/>
  <c r="I9" i="18"/>
  <c r="H9" i="18"/>
  <c r="I8" i="18"/>
  <c r="H8" i="18"/>
  <c r="I7" i="18"/>
  <c r="H7" i="18"/>
  <c r="I6" i="18"/>
  <c r="H6" i="18"/>
  <c r="I5" i="18"/>
  <c r="H5" i="18"/>
  <c r="I4" i="18"/>
  <c r="H4" i="18"/>
  <c r="I3" i="18"/>
  <c r="H3" i="18"/>
  <c r="I16" i="17"/>
  <c r="H16" i="17"/>
  <c r="I15" i="17"/>
  <c r="H15" i="17"/>
  <c r="I14" i="17"/>
  <c r="H14" i="17"/>
  <c r="I13" i="17"/>
  <c r="H13" i="17"/>
  <c r="I12" i="17"/>
  <c r="H12" i="17"/>
  <c r="I11" i="17"/>
  <c r="H11" i="17"/>
  <c r="I10" i="17"/>
  <c r="H10" i="17"/>
  <c r="I9" i="17"/>
  <c r="H9" i="17"/>
  <c r="I8" i="17"/>
  <c r="H8" i="17"/>
  <c r="I7" i="17"/>
  <c r="H7" i="17"/>
  <c r="I6" i="17"/>
  <c r="H6" i="17"/>
  <c r="I5" i="17"/>
  <c r="H5" i="17"/>
  <c r="I4" i="17"/>
  <c r="H4" i="17"/>
  <c r="I3" i="17"/>
  <c r="H3" i="17"/>
  <c r="I26" i="16"/>
  <c r="H26" i="16"/>
  <c r="I25" i="16"/>
  <c r="H25" i="16"/>
  <c r="I24" i="16"/>
  <c r="H24" i="16"/>
  <c r="I23" i="16"/>
  <c r="H23" i="16"/>
  <c r="I22" i="16"/>
  <c r="H22" i="16"/>
  <c r="I21" i="16"/>
  <c r="H21" i="16"/>
  <c r="I20" i="16"/>
  <c r="H20" i="16"/>
  <c r="I19" i="16"/>
  <c r="H19" i="16"/>
  <c r="I18" i="16"/>
  <c r="H18" i="16"/>
  <c r="I17" i="16"/>
  <c r="H17" i="16"/>
  <c r="I16" i="16"/>
  <c r="H16" i="16"/>
  <c r="I15" i="16"/>
  <c r="H15" i="16"/>
  <c r="I14" i="16"/>
  <c r="H14" i="16"/>
  <c r="I13" i="16"/>
  <c r="H13" i="16"/>
  <c r="I12" i="16"/>
  <c r="H12" i="16"/>
  <c r="I11" i="16"/>
  <c r="H11" i="16"/>
  <c r="I10" i="16"/>
  <c r="H10" i="16"/>
  <c r="I9" i="16"/>
  <c r="H9" i="16"/>
  <c r="I8" i="16"/>
  <c r="H8" i="16"/>
  <c r="I7" i="16"/>
  <c r="H7" i="16"/>
  <c r="I6" i="16"/>
  <c r="H6" i="16"/>
  <c r="I5" i="16"/>
  <c r="H5" i="16"/>
  <c r="I4" i="16"/>
  <c r="H4" i="16"/>
  <c r="I3" i="16"/>
  <c r="H3" i="16"/>
  <c r="I31" i="15"/>
  <c r="H31" i="15"/>
  <c r="I30" i="15"/>
  <c r="H30" i="15"/>
  <c r="I29" i="15"/>
  <c r="H29" i="15"/>
  <c r="I28" i="15"/>
  <c r="H28" i="15"/>
  <c r="I27" i="15"/>
  <c r="H27" i="15"/>
  <c r="I26" i="15"/>
  <c r="H26" i="15"/>
  <c r="I25" i="15"/>
  <c r="H25" i="15"/>
  <c r="I24" i="15"/>
  <c r="H24" i="15"/>
  <c r="I23" i="15"/>
  <c r="H23" i="15"/>
  <c r="I22" i="15"/>
  <c r="H22" i="15"/>
  <c r="I21" i="15"/>
  <c r="H21" i="15"/>
  <c r="I20" i="15"/>
  <c r="H20" i="15"/>
  <c r="I19" i="15"/>
  <c r="H19" i="15"/>
  <c r="I18" i="15"/>
  <c r="H18" i="15"/>
  <c r="I17" i="15"/>
  <c r="H17" i="15"/>
  <c r="I16" i="15"/>
  <c r="H16" i="15"/>
  <c r="I15" i="15"/>
  <c r="H15" i="15"/>
  <c r="I14" i="15"/>
  <c r="H14" i="15"/>
  <c r="I13" i="15"/>
  <c r="H13" i="15"/>
  <c r="I12" i="15"/>
  <c r="H12" i="15"/>
  <c r="I11" i="15"/>
  <c r="H11" i="15"/>
  <c r="I10" i="15"/>
  <c r="H10" i="15"/>
  <c r="I9" i="15"/>
  <c r="H9" i="15"/>
  <c r="I8" i="15"/>
  <c r="H8" i="15"/>
  <c r="I7" i="15"/>
  <c r="H7" i="15"/>
  <c r="I6" i="15"/>
  <c r="H6" i="15"/>
  <c r="I5" i="15"/>
  <c r="H5" i="15"/>
  <c r="I4" i="15"/>
  <c r="H4" i="15"/>
  <c r="I3" i="15"/>
  <c r="H3" i="15"/>
  <c r="I26" i="14"/>
  <c r="H26" i="14"/>
  <c r="I25" i="14"/>
  <c r="H25" i="14"/>
  <c r="I24" i="14"/>
  <c r="H24" i="14"/>
  <c r="I23" i="14"/>
  <c r="H23" i="14"/>
  <c r="I22" i="14"/>
  <c r="H22" i="14"/>
  <c r="I21" i="14"/>
  <c r="H21" i="14"/>
  <c r="I20" i="14"/>
  <c r="H20" i="14"/>
  <c r="I19" i="14"/>
  <c r="H19" i="14"/>
  <c r="I18" i="14"/>
  <c r="H18" i="14"/>
  <c r="I17" i="14"/>
  <c r="H17" i="14"/>
  <c r="I16" i="14"/>
  <c r="H16" i="14"/>
  <c r="I15" i="14"/>
  <c r="H15" i="14"/>
  <c r="I14" i="14"/>
  <c r="H14" i="14"/>
  <c r="I13" i="14"/>
  <c r="H13" i="14"/>
  <c r="I12" i="14"/>
  <c r="H12" i="14"/>
  <c r="I11" i="14"/>
  <c r="H11" i="14"/>
  <c r="I10" i="14"/>
  <c r="H10" i="14"/>
  <c r="I9" i="14"/>
  <c r="H9" i="14"/>
  <c r="I8" i="14"/>
  <c r="H8" i="14"/>
  <c r="I7" i="14"/>
  <c r="H7" i="14"/>
  <c r="I6" i="14"/>
  <c r="H6" i="14"/>
  <c r="I5" i="14"/>
  <c r="H5" i="14"/>
  <c r="I4" i="14"/>
  <c r="H4" i="14"/>
  <c r="I3" i="14"/>
  <c r="H3" i="14"/>
  <c r="I43" i="13"/>
  <c r="H43" i="13"/>
  <c r="I42" i="13"/>
  <c r="H42" i="13"/>
  <c r="I41" i="13"/>
  <c r="H41" i="13"/>
  <c r="I40" i="13"/>
  <c r="H40" i="13"/>
  <c r="I39" i="13"/>
  <c r="H39" i="13"/>
  <c r="I38" i="13"/>
  <c r="H38" i="13"/>
  <c r="I37" i="13"/>
  <c r="H37" i="13"/>
  <c r="I36" i="13"/>
  <c r="H36" i="13"/>
  <c r="I35" i="13"/>
  <c r="H35" i="13"/>
  <c r="I34" i="13"/>
  <c r="H34" i="13"/>
  <c r="I33" i="13"/>
  <c r="H33" i="13"/>
  <c r="I32" i="13"/>
  <c r="H32" i="13"/>
  <c r="I31" i="13"/>
  <c r="H31" i="13"/>
  <c r="I30" i="13"/>
  <c r="H30" i="13"/>
  <c r="I29" i="13"/>
  <c r="H29" i="13"/>
  <c r="I28" i="13"/>
  <c r="H28" i="13"/>
  <c r="I27" i="13"/>
  <c r="H27" i="13"/>
  <c r="I26" i="13"/>
  <c r="H26" i="13"/>
  <c r="I25" i="13"/>
  <c r="H25" i="13"/>
  <c r="I24" i="13"/>
  <c r="H24" i="13"/>
  <c r="I23" i="13"/>
  <c r="H23" i="13"/>
  <c r="I22" i="13"/>
  <c r="H22" i="13"/>
  <c r="I21" i="13"/>
  <c r="H21" i="13"/>
  <c r="I20" i="13"/>
  <c r="H20" i="13"/>
  <c r="I19" i="13"/>
  <c r="H19" i="13"/>
  <c r="I18" i="13"/>
  <c r="H18" i="13"/>
  <c r="I17" i="13"/>
  <c r="H17" i="13"/>
  <c r="I16" i="13"/>
  <c r="H16" i="13"/>
  <c r="I15" i="13"/>
  <c r="H15" i="13"/>
  <c r="I14" i="13"/>
  <c r="H14" i="13"/>
  <c r="I13" i="13"/>
  <c r="H13" i="13"/>
  <c r="I12" i="13"/>
  <c r="H12" i="13"/>
  <c r="I11" i="13"/>
  <c r="H11" i="13"/>
  <c r="I10" i="13"/>
  <c r="H10" i="13"/>
  <c r="I9" i="13"/>
  <c r="H9" i="13"/>
  <c r="I8" i="13"/>
  <c r="H8" i="13"/>
  <c r="I7" i="13"/>
  <c r="H7" i="13"/>
  <c r="I6" i="13"/>
  <c r="H6" i="13"/>
  <c r="I5" i="13"/>
  <c r="H5" i="13"/>
  <c r="I4" i="13"/>
  <c r="H4" i="13"/>
  <c r="I3" i="13"/>
  <c r="H3" i="13"/>
  <c r="I20" i="12"/>
  <c r="H20" i="12"/>
  <c r="I19" i="12"/>
  <c r="H19" i="12"/>
  <c r="I18" i="12"/>
  <c r="H18" i="12"/>
  <c r="I17" i="12"/>
  <c r="H17" i="12"/>
  <c r="I16" i="12"/>
  <c r="H16" i="12"/>
  <c r="I15" i="12"/>
  <c r="H15" i="12"/>
  <c r="I14" i="12"/>
  <c r="H14" i="12"/>
  <c r="I13" i="12"/>
  <c r="H13" i="12"/>
  <c r="I12" i="12"/>
  <c r="H12" i="12"/>
  <c r="I11" i="12"/>
  <c r="H11" i="12"/>
  <c r="I10" i="12"/>
  <c r="H10" i="12"/>
  <c r="I9" i="12"/>
  <c r="H9" i="12"/>
  <c r="I8" i="12"/>
  <c r="H8" i="12"/>
  <c r="I7" i="12"/>
  <c r="H7" i="12"/>
  <c r="I6" i="12"/>
  <c r="H6" i="12"/>
  <c r="I5" i="12"/>
  <c r="H5" i="12"/>
  <c r="I4" i="12"/>
  <c r="H4" i="12"/>
  <c r="I3" i="12"/>
  <c r="H3" i="12"/>
  <c r="I20" i="11"/>
  <c r="H20" i="11"/>
  <c r="I19" i="11"/>
  <c r="H19" i="11"/>
  <c r="I18" i="11"/>
  <c r="H18" i="11"/>
  <c r="I17" i="11"/>
  <c r="H17" i="11"/>
  <c r="I16" i="11"/>
  <c r="H16" i="11"/>
  <c r="I15" i="11"/>
  <c r="H15" i="11"/>
  <c r="I14" i="11"/>
  <c r="H14" i="11"/>
  <c r="I13" i="11"/>
  <c r="H13" i="11"/>
  <c r="I12" i="11"/>
  <c r="H12" i="11"/>
  <c r="I11" i="11"/>
  <c r="H11" i="11"/>
  <c r="I10" i="11"/>
  <c r="H10" i="11"/>
  <c r="I9" i="11"/>
  <c r="H9" i="11"/>
  <c r="I8" i="11"/>
  <c r="H8" i="11"/>
  <c r="I7" i="11"/>
  <c r="H7" i="11"/>
  <c r="I6" i="11"/>
  <c r="H6" i="11"/>
  <c r="I5" i="11"/>
  <c r="H5" i="11"/>
  <c r="I4" i="11"/>
  <c r="H4" i="11"/>
  <c r="I3" i="11"/>
  <c r="H3" i="11"/>
  <c r="I36" i="10"/>
  <c r="H36" i="10"/>
  <c r="I35" i="10"/>
  <c r="H35" i="10"/>
  <c r="I34" i="10"/>
  <c r="H34" i="10"/>
  <c r="I33" i="10"/>
  <c r="H33" i="10"/>
  <c r="I32" i="10"/>
  <c r="H32" i="10"/>
  <c r="I31" i="10"/>
  <c r="H31" i="10"/>
  <c r="I30" i="10"/>
  <c r="H30" i="10"/>
  <c r="I29" i="10"/>
  <c r="H29" i="10"/>
  <c r="I28" i="10"/>
  <c r="H28" i="10"/>
  <c r="I27" i="10"/>
  <c r="H27" i="10"/>
  <c r="I26" i="10"/>
  <c r="H26" i="10"/>
  <c r="I25" i="10"/>
  <c r="H25" i="10"/>
  <c r="I24" i="10"/>
  <c r="H24" i="10"/>
  <c r="I23" i="10"/>
  <c r="H23" i="10"/>
  <c r="I22" i="10"/>
  <c r="H22" i="10"/>
  <c r="I21" i="10"/>
  <c r="H21" i="10"/>
  <c r="I20" i="10"/>
  <c r="H20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I13" i="10"/>
  <c r="H13" i="10"/>
  <c r="I12" i="10"/>
  <c r="H12" i="10"/>
  <c r="I11" i="10"/>
  <c r="H11" i="10"/>
  <c r="I10" i="10"/>
  <c r="H10" i="10"/>
  <c r="I9" i="10"/>
  <c r="H9" i="10"/>
  <c r="I8" i="10"/>
  <c r="H8" i="10"/>
  <c r="I7" i="10"/>
  <c r="H7" i="10"/>
  <c r="I6" i="10"/>
  <c r="H6" i="10"/>
  <c r="I5" i="10"/>
  <c r="H5" i="10"/>
  <c r="I4" i="10"/>
  <c r="H4" i="10"/>
  <c r="I3" i="10"/>
  <c r="H3" i="10"/>
  <c r="I91" i="9"/>
  <c r="H91" i="9"/>
  <c r="I90" i="9"/>
  <c r="H90" i="9"/>
  <c r="I89" i="9"/>
  <c r="H89" i="9"/>
  <c r="I88" i="9"/>
  <c r="H88" i="9"/>
  <c r="I87" i="9"/>
  <c r="H87" i="9"/>
  <c r="I86" i="9"/>
  <c r="H86" i="9"/>
  <c r="I85" i="9"/>
  <c r="H85" i="9"/>
  <c r="I84" i="9"/>
  <c r="H84" i="9"/>
  <c r="I83" i="9"/>
  <c r="H83" i="9"/>
  <c r="I82" i="9"/>
  <c r="H82" i="9"/>
  <c r="I81" i="9"/>
  <c r="H81" i="9"/>
  <c r="I80" i="9"/>
  <c r="H80" i="9"/>
  <c r="I79" i="9"/>
  <c r="H79" i="9"/>
  <c r="I78" i="9"/>
  <c r="H78" i="9"/>
  <c r="I77" i="9"/>
  <c r="H77" i="9"/>
  <c r="I76" i="9"/>
  <c r="H76" i="9"/>
  <c r="I75" i="9"/>
  <c r="H75" i="9"/>
  <c r="I74" i="9"/>
  <c r="H74" i="9"/>
  <c r="I73" i="9"/>
  <c r="H73" i="9"/>
  <c r="I72" i="9"/>
  <c r="H72" i="9"/>
  <c r="I71" i="9"/>
  <c r="H71" i="9"/>
  <c r="I70" i="9"/>
  <c r="H70" i="9"/>
  <c r="I69" i="9"/>
  <c r="H69" i="9"/>
  <c r="I68" i="9"/>
  <c r="H68" i="9"/>
  <c r="I67" i="9"/>
  <c r="H67" i="9"/>
  <c r="I66" i="9"/>
  <c r="H66" i="9"/>
  <c r="I65" i="9"/>
  <c r="H65" i="9"/>
  <c r="I64" i="9"/>
  <c r="H64" i="9"/>
  <c r="I63" i="9"/>
  <c r="H63" i="9"/>
  <c r="I62" i="9"/>
  <c r="H62" i="9"/>
  <c r="I61" i="9"/>
  <c r="H61" i="9"/>
  <c r="I60" i="9"/>
  <c r="H60" i="9"/>
  <c r="I59" i="9"/>
  <c r="H59" i="9"/>
  <c r="I58" i="9"/>
  <c r="H58" i="9"/>
  <c r="I57" i="9"/>
  <c r="H57" i="9"/>
  <c r="I56" i="9"/>
  <c r="H56" i="9"/>
  <c r="I55" i="9"/>
  <c r="H55" i="9"/>
  <c r="I54" i="9"/>
  <c r="H54" i="9"/>
  <c r="I53" i="9"/>
  <c r="H53" i="9"/>
  <c r="I52" i="9"/>
  <c r="H52" i="9"/>
  <c r="I51" i="9"/>
  <c r="H51" i="9"/>
  <c r="I50" i="9"/>
  <c r="H50" i="9"/>
  <c r="I49" i="9"/>
  <c r="H49" i="9"/>
  <c r="I48" i="9"/>
  <c r="H48" i="9"/>
  <c r="I47" i="9"/>
  <c r="H47" i="9"/>
  <c r="I46" i="9"/>
  <c r="H46" i="9"/>
  <c r="I45" i="9"/>
  <c r="H45" i="9"/>
  <c r="I44" i="9"/>
  <c r="H44" i="9"/>
  <c r="I43" i="9"/>
  <c r="H43" i="9"/>
  <c r="I42" i="9"/>
  <c r="H42" i="9"/>
  <c r="I41" i="9"/>
  <c r="H41" i="9"/>
  <c r="I40" i="9"/>
  <c r="H40" i="9"/>
  <c r="I39" i="9"/>
  <c r="H39" i="9"/>
  <c r="I38" i="9"/>
  <c r="H38" i="9"/>
  <c r="I37" i="9"/>
  <c r="H37" i="9"/>
  <c r="I36" i="9"/>
  <c r="H36" i="9"/>
  <c r="I35" i="9"/>
  <c r="H35" i="9"/>
  <c r="I34" i="9"/>
  <c r="H34" i="9"/>
  <c r="I33" i="9"/>
  <c r="H33" i="9"/>
  <c r="I32" i="9"/>
  <c r="H32" i="9"/>
  <c r="I31" i="9"/>
  <c r="H31" i="9"/>
  <c r="I30" i="9"/>
  <c r="H30" i="9"/>
  <c r="I29" i="9"/>
  <c r="H29" i="9"/>
  <c r="I28" i="9"/>
  <c r="H28" i="9"/>
  <c r="I27" i="9"/>
  <c r="H27" i="9"/>
  <c r="I26" i="9"/>
  <c r="H26" i="9"/>
  <c r="I25" i="9"/>
  <c r="H25" i="9"/>
  <c r="I24" i="9"/>
  <c r="H24" i="9"/>
  <c r="I23" i="9"/>
  <c r="H23" i="9"/>
  <c r="I22" i="9"/>
  <c r="H22" i="9"/>
  <c r="I21" i="9"/>
  <c r="H21" i="9"/>
  <c r="I20" i="9"/>
  <c r="H20" i="9"/>
  <c r="I19" i="9"/>
  <c r="H19" i="9"/>
  <c r="I18" i="9"/>
  <c r="H18" i="9"/>
  <c r="I17" i="9"/>
  <c r="H17" i="9"/>
  <c r="I16" i="9"/>
  <c r="H16" i="9"/>
  <c r="I15" i="9"/>
  <c r="H15" i="9"/>
  <c r="I14" i="9"/>
  <c r="H14" i="9"/>
  <c r="I13" i="9"/>
  <c r="H13" i="9"/>
  <c r="I12" i="9"/>
  <c r="H12" i="9"/>
  <c r="I11" i="9"/>
  <c r="H11" i="9"/>
  <c r="I10" i="9"/>
  <c r="H10" i="9"/>
  <c r="I9" i="9"/>
  <c r="H9" i="9"/>
  <c r="I8" i="9"/>
  <c r="H8" i="9"/>
  <c r="I7" i="9"/>
  <c r="H7" i="9"/>
  <c r="I6" i="9"/>
  <c r="H6" i="9"/>
  <c r="I5" i="9"/>
  <c r="H5" i="9"/>
  <c r="I4" i="9"/>
  <c r="H4" i="9"/>
  <c r="I3" i="9"/>
  <c r="H3" i="9"/>
  <c r="I37" i="8"/>
  <c r="H37" i="8"/>
  <c r="I36" i="8"/>
  <c r="H36" i="8"/>
  <c r="I35" i="8"/>
  <c r="H35" i="8"/>
  <c r="I34" i="8"/>
  <c r="H34" i="8"/>
  <c r="I33" i="8"/>
  <c r="H33" i="8"/>
  <c r="I32" i="8"/>
  <c r="H32" i="8"/>
  <c r="I31" i="8"/>
  <c r="H31" i="8"/>
  <c r="I30" i="8"/>
  <c r="H30" i="8"/>
  <c r="I29" i="8"/>
  <c r="H29" i="8"/>
  <c r="I28" i="8"/>
  <c r="H28" i="8"/>
  <c r="I27" i="8"/>
  <c r="H27" i="8"/>
  <c r="I26" i="8"/>
  <c r="H26" i="8"/>
  <c r="I25" i="8"/>
  <c r="H25" i="8"/>
  <c r="I24" i="8"/>
  <c r="H24" i="8"/>
  <c r="I23" i="8"/>
  <c r="H23" i="8"/>
  <c r="I22" i="8"/>
  <c r="H22" i="8"/>
  <c r="I21" i="8"/>
  <c r="H21" i="8"/>
  <c r="I20" i="8"/>
  <c r="H20" i="8"/>
  <c r="I19" i="8"/>
  <c r="H19" i="8"/>
  <c r="I18" i="8"/>
  <c r="H18" i="8"/>
  <c r="I17" i="8"/>
  <c r="H17" i="8"/>
  <c r="I16" i="8"/>
  <c r="H16" i="8"/>
  <c r="I15" i="8"/>
  <c r="H15" i="8"/>
  <c r="I14" i="8"/>
  <c r="H14" i="8"/>
  <c r="I13" i="8"/>
  <c r="H13" i="8"/>
  <c r="I12" i="8"/>
  <c r="H12" i="8"/>
  <c r="I11" i="8"/>
  <c r="H11" i="8"/>
  <c r="I10" i="8"/>
  <c r="H10" i="8"/>
  <c r="I9" i="8"/>
  <c r="H9" i="8"/>
  <c r="I8" i="8"/>
  <c r="H8" i="8"/>
  <c r="I7" i="8"/>
  <c r="H7" i="8"/>
  <c r="I6" i="8"/>
  <c r="H6" i="8"/>
  <c r="I5" i="8"/>
  <c r="H5" i="8"/>
  <c r="I4" i="8"/>
  <c r="H4" i="8"/>
  <c r="I3" i="8"/>
  <c r="H3" i="8"/>
  <c r="I34" i="7"/>
  <c r="H34" i="7"/>
  <c r="I33" i="7"/>
  <c r="H33" i="7"/>
  <c r="I32" i="7"/>
  <c r="H32" i="7"/>
  <c r="I31" i="7"/>
  <c r="H31" i="7"/>
  <c r="I30" i="7"/>
  <c r="H30" i="7"/>
  <c r="I29" i="7"/>
  <c r="H29" i="7"/>
  <c r="I28" i="7"/>
  <c r="H28" i="7"/>
  <c r="I27" i="7"/>
  <c r="H27" i="7"/>
  <c r="I26" i="7"/>
  <c r="H26" i="7"/>
  <c r="I25" i="7"/>
  <c r="H25" i="7"/>
  <c r="I24" i="7"/>
  <c r="H24" i="7"/>
  <c r="I23" i="7"/>
  <c r="H23" i="7"/>
  <c r="I22" i="7"/>
  <c r="H22" i="7"/>
  <c r="I21" i="7"/>
  <c r="H21" i="7"/>
  <c r="I20" i="7"/>
  <c r="H20" i="7"/>
  <c r="I19" i="7"/>
  <c r="H19" i="7"/>
  <c r="I18" i="7"/>
  <c r="H18" i="7"/>
  <c r="I17" i="7"/>
  <c r="H17" i="7"/>
  <c r="I16" i="7"/>
  <c r="H16" i="7"/>
  <c r="I15" i="7"/>
  <c r="H15" i="7"/>
  <c r="I14" i="7"/>
  <c r="H14" i="7"/>
  <c r="I13" i="7"/>
  <c r="H13" i="7"/>
  <c r="I12" i="7"/>
  <c r="H12" i="7"/>
  <c r="I11" i="7"/>
  <c r="H11" i="7"/>
  <c r="I10" i="7"/>
  <c r="H10" i="7"/>
  <c r="I9" i="7"/>
  <c r="H9" i="7"/>
  <c r="I8" i="7"/>
  <c r="H8" i="7"/>
  <c r="I7" i="7"/>
  <c r="H7" i="7"/>
  <c r="I6" i="7"/>
  <c r="H6" i="7"/>
  <c r="I5" i="7"/>
  <c r="H5" i="7"/>
  <c r="I4" i="7"/>
  <c r="H4" i="7"/>
  <c r="I3" i="7"/>
  <c r="H3" i="7"/>
  <c r="I21" i="6"/>
  <c r="H21" i="6"/>
  <c r="I20" i="6"/>
  <c r="H20" i="6"/>
  <c r="I19" i="6"/>
  <c r="H19" i="6"/>
  <c r="I18" i="6"/>
  <c r="H18" i="6"/>
  <c r="I17" i="6"/>
  <c r="H17" i="6"/>
  <c r="I16" i="6"/>
  <c r="H16" i="6"/>
  <c r="I15" i="6"/>
  <c r="H15" i="6"/>
  <c r="I14" i="6"/>
  <c r="H14" i="6"/>
  <c r="I13" i="6"/>
  <c r="H13" i="6"/>
  <c r="I12" i="6"/>
  <c r="H12" i="6"/>
  <c r="I11" i="6"/>
  <c r="H11" i="6"/>
  <c r="I10" i="6"/>
  <c r="H10" i="6"/>
  <c r="I9" i="6"/>
  <c r="H9" i="6"/>
  <c r="I8" i="6"/>
  <c r="H8" i="6"/>
  <c r="I7" i="6"/>
  <c r="H7" i="6"/>
  <c r="I6" i="6"/>
  <c r="H6" i="6"/>
  <c r="I5" i="6"/>
  <c r="H5" i="6"/>
  <c r="I4" i="6"/>
  <c r="H4" i="6"/>
  <c r="I3" i="6"/>
  <c r="H3" i="6"/>
  <c r="I10" i="5"/>
  <c r="H10" i="5"/>
  <c r="I9" i="5"/>
  <c r="H9" i="5"/>
  <c r="I8" i="5"/>
  <c r="H8" i="5"/>
  <c r="I7" i="5"/>
  <c r="H7" i="5"/>
  <c r="I6" i="5"/>
  <c r="H6" i="5"/>
  <c r="I5" i="5"/>
  <c r="H5" i="5"/>
  <c r="I4" i="5"/>
  <c r="H4" i="5"/>
  <c r="I3" i="5"/>
  <c r="H3" i="5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3" i="4"/>
  <c r="H3" i="4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  <c r="I3" i="3"/>
  <c r="H3" i="3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I31" i="1" s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7" i="14" l="1"/>
  <c r="H27" i="14"/>
  <c r="I9" i="55"/>
  <c r="H9" i="55"/>
  <c r="H11" i="5"/>
  <c r="I37" i="10"/>
  <c r="H31" i="1"/>
</calcChain>
</file>

<file path=xl/sharedStrings.xml><?xml version="1.0" encoding="utf-8"?>
<sst xmlns="http://schemas.openxmlformats.org/spreadsheetml/2006/main" count="2650" uniqueCount="1249">
  <si>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</si>
  <si>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</si>
  <si>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</si>
  <si>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</si>
  <si>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</si>
  <si>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</si>
  <si>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</si>
  <si>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</si>
  <si>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</si>
  <si>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مسجد سلیمان</t>
  </si>
  <si>
    <t>ابازري شاپور</t>
  </si>
  <si>
    <t>باقري علي اکبر</t>
  </si>
  <si>
    <t>پروند بوري عبدالقادر</t>
  </si>
  <si>
    <t>تقي پور بيرگاني محمد</t>
  </si>
  <si>
    <t>جامعي مهرداد</t>
  </si>
  <si>
    <t>جانقوني حسن</t>
  </si>
  <si>
    <t>حبيبي محمد</t>
  </si>
  <si>
    <t>حيدري ترک نبي  اله</t>
  </si>
  <si>
    <t>خسروي قندعلي احمد</t>
  </si>
  <si>
    <t>خليلي بردي ندا</t>
  </si>
  <si>
    <t>رحيمي رضا</t>
  </si>
  <si>
    <t>روشن چراغ شکيبا</t>
  </si>
  <si>
    <t>زمان پور اميد</t>
  </si>
  <si>
    <t>سياهپوربنداني عباس</t>
  </si>
  <si>
    <t>شاهزاده عبداله شقايق</t>
  </si>
  <si>
    <t>شيني کريم پريا</t>
  </si>
  <si>
    <t>صالحپور ايمان</t>
  </si>
  <si>
    <t>طاهري شکراله</t>
  </si>
  <si>
    <t>عليجاني فرزاد</t>
  </si>
  <si>
    <t>قنبري علي</t>
  </si>
  <si>
    <t>لجميري فريده</t>
  </si>
  <si>
    <t>محمدي فرزانه</t>
  </si>
  <si>
    <t>مرعشي پور سيده مريم</t>
  </si>
  <si>
    <t>معين فر مجتبي</t>
  </si>
  <si>
    <t>ناصري ميرزائي محبوبه</t>
  </si>
  <si>
    <t>نظري بيرگاني علي</t>
  </si>
  <si>
    <t>نيک انديش بهرام</t>
  </si>
  <si>
    <t>وليان پور زينب</t>
  </si>
  <si>
    <t>شوشتر</t>
  </si>
  <si>
    <t>ابراهيمي باقر</t>
  </si>
  <si>
    <t>اسدي علي</t>
  </si>
  <si>
    <t>افتخار جعفر</t>
  </si>
  <si>
    <t>بشيري محسن</t>
  </si>
  <si>
    <t>بهدار وند مرجان</t>
  </si>
  <si>
    <t>بهداروند داريوش</t>
  </si>
  <si>
    <t>تقي پور بيرگاني اسماعيل</t>
  </si>
  <si>
    <t>تقي زاده محمد رضا</t>
  </si>
  <si>
    <t>جعفرزاده مريم</t>
  </si>
  <si>
    <t>جعفرزاده ميترا</t>
  </si>
  <si>
    <t>جعفري مهدي</t>
  </si>
  <si>
    <t>جلودار الهام</t>
  </si>
  <si>
    <t>حسن نيا ابراهيم</t>
  </si>
  <si>
    <t>خاتمي نيا آرش</t>
  </si>
  <si>
    <t>خادمي موگهي ابراهيم</t>
  </si>
  <si>
    <t>خدائي راد خديجه</t>
  </si>
  <si>
    <t>زلقي زهرا</t>
  </si>
  <si>
    <t>سعدي ال کثير محمد</t>
  </si>
  <si>
    <t>شوشتري اميررضا</t>
  </si>
  <si>
    <t>صيادنژاد راضيه</t>
  </si>
  <si>
    <t>طيبي محمدرضا</t>
  </si>
  <si>
    <t>فتاحي علي</t>
  </si>
  <si>
    <t>فتحي محمد</t>
  </si>
  <si>
    <t>فلاحي نيا مسعود</t>
  </si>
  <si>
    <t>قلي زاده گماري پرويز</t>
  </si>
  <si>
    <t>کريمي زاده علي</t>
  </si>
  <si>
    <t>کوچکي اسماعيل</t>
  </si>
  <si>
    <t>کيافر عليرضا</t>
  </si>
  <si>
    <t>گلاب زاده مولود</t>
  </si>
  <si>
    <t>محمدزاده نجمه</t>
  </si>
  <si>
    <t>محمدي غلامرضا</t>
  </si>
  <si>
    <t>محمديان شوشتر رضا</t>
  </si>
  <si>
    <t>محمديان نوذر</t>
  </si>
  <si>
    <t>مظهري غلامرضا</t>
  </si>
  <si>
    <t>منجزي نجمه</t>
  </si>
  <si>
    <t>هاروني زاده زينب</t>
  </si>
  <si>
    <t>همتي پور قائم</t>
  </si>
  <si>
    <t>ابراهيمي فرج آبادي بهروز</t>
  </si>
  <si>
    <t>احمدزاده پروانه</t>
  </si>
  <si>
    <t>احمدي کيا ايرج</t>
  </si>
  <si>
    <t>اسدي نژادي حسين</t>
  </si>
  <si>
    <t>افراسيابي مهرداد</t>
  </si>
  <si>
    <t>تيموري حبيب اله</t>
  </si>
  <si>
    <t>جهانبخشي سحر</t>
  </si>
  <si>
    <t>چکاو حاتم</t>
  </si>
  <si>
    <t>چنگيزي مريم</t>
  </si>
  <si>
    <t>دورقي سجاد</t>
  </si>
  <si>
    <t>دورقي عباس</t>
  </si>
  <si>
    <t>رضائيان مائده</t>
  </si>
  <si>
    <t>سلطاني آزاده</t>
  </si>
  <si>
    <t>سليماني اصل هدا</t>
  </si>
  <si>
    <t>شکوهمند مريم</t>
  </si>
  <si>
    <t>طيبي سهيل</t>
  </si>
  <si>
    <t>طيبي فاطمه</t>
  </si>
  <si>
    <t>عزيزي سميه</t>
  </si>
  <si>
    <t>عفري حميد</t>
  </si>
  <si>
    <t>فراهاني سميرا</t>
  </si>
  <si>
    <t>فيليان ميثم</t>
  </si>
  <si>
    <t>گودرزي محمد</t>
  </si>
  <si>
    <t>ملائي سعيد</t>
  </si>
  <si>
    <t>ملک محمدي رضا</t>
  </si>
  <si>
    <t>مهدي پور فريده</t>
  </si>
  <si>
    <t>نوري سميه</t>
  </si>
  <si>
    <t>هادي زاده فرزاد</t>
  </si>
  <si>
    <t>هشيار سيمين</t>
  </si>
  <si>
    <t>ابراهيمي محمدمهدي</t>
  </si>
  <si>
    <t>اسکندري رضا</t>
  </si>
  <si>
    <t>بهزادمند مسعود</t>
  </si>
  <si>
    <t>جعفري مريم</t>
  </si>
  <si>
    <t>جلالي مصطفي</t>
  </si>
  <si>
    <t>چنگيزي طاهره</t>
  </si>
  <si>
    <t>حسين زاده بهروز آزاده</t>
  </si>
  <si>
    <t>حلالي زينب</t>
  </si>
  <si>
    <t>خسروي سحر</t>
  </si>
  <si>
    <t>خيرآبادي مطلق مريم</t>
  </si>
  <si>
    <t>دانش پژوه سعيد</t>
  </si>
  <si>
    <t>زهيري مسعود</t>
  </si>
  <si>
    <t>سفيدخوش مسعود</t>
  </si>
  <si>
    <t>صبور مهدي</t>
  </si>
  <si>
    <t>صداقت مسعود</t>
  </si>
  <si>
    <t>عباس زاده گوراني آمنه</t>
  </si>
  <si>
    <t>عچرش کريمي منا</t>
  </si>
  <si>
    <t>فيليان مينا</t>
  </si>
  <si>
    <t>کياني معصومه</t>
  </si>
  <si>
    <t>محمدي ديلم سعيد</t>
  </si>
  <si>
    <t>محمدي زهرا</t>
  </si>
  <si>
    <t>هندیجان</t>
  </si>
  <si>
    <t>ابوعلي صادق</t>
  </si>
  <si>
    <t>برزين سمانه</t>
  </si>
  <si>
    <t>روهنده نعمت اله</t>
  </si>
  <si>
    <t>شعباني محمود</t>
  </si>
  <si>
    <t>شکاري پريا</t>
  </si>
  <si>
    <t>غبيشاوي زاده عبدالرضا</t>
  </si>
  <si>
    <t>مطوري مجيد</t>
  </si>
  <si>
    <t>موسوي سيد حسين</t>
  </si>
  <si>
    <t>فناوری</t>
  </si>
  <si>
    <t>ابوعلي مريم</t>
  </si>
  <si>
    <t>الهي مقدم عادل</t>
  </si>
  <si>
    <t>تاج ميرعالي اسماعيل</t>
  </si>
  <si>
    <t>جرک زاد زينب</t>
  </si>
  <si>
    <t>جمشيدي محسن</t>
  </si>
  <si>
    <t>حسين پور نجمه</t>
  </si>
  <si>
    <t>خادمي آيدا</t>
  </si>
  <si>
    <t>خسروي نژاد ساجد</t>
  </si>
  <si>
    <t>خسروي نگين</t>
  </si>
  <si>
    <t>خليليان مهدي</t>
  </si>
  <si>
    <t>رشيدي ابراهيم</t>
  </si>
  <si>
    <t>سنجري مسعود</t>
  </si>
  <si>
    <t>فتاحي زاده ميثم</t>
  </si>
  <si>
    <t>قاسم زاده محمد کاظم</t>
  </si>
  <si>
    <t>قائد اميني مرضيه</t>
  </si>
  <si>
    <t>کاوياني فر عليرضا</t>
  </si>
  <si>
    <t>کلاني زاده محمد</t>
  </si>
  <si>
    <t>نوربخش سحر</t>
  </si>
  <si>
    <t>نيک سرشت سجاد</t>
  </si>
  <si>
    <t>ایذه</t>
  </si>
  <si>
    <t>ابوليان عادل</t>
  </si>
  <si>
    <t>آورند امين</t>
  </si>
  <si>
    <t>بختياري نژاد خديجه</t>
  </si>
  <si>
    <t>براتي فر سميه</t>
  </si>
  <si>
    <t>بنداني احمد</t>
  </si>
  <si>
    <t>بويري سجاد</t>
  </si>
  <si>
    <t>بويري کناري عباس</t>
  </si>
  <si>
    <t>پيرفلک مظفر</t>
  </si>
  <si>
    <t>حاتمي آزيتا</t>
  </si>
  <si>
    <t>حبيبي سجاد</t>
  </si>
  <si>
    <t>خسروي زهرا</t>
  </si>
  <si>
    <t>شيخ زاده سعادت</t>
  </si>
  <si>
    <t>شيخي محمد</t>
  </si>
  <si>
    <t>طهماسبي اصل بهنام</t>
  </si>
  <si>
    <t>عباسي لرکي حمزه علي</t>
  </si>
  <si>
    <t>عليپور تقي</t>
  </si>
  <si>
    <t>عليپور فريدون</t>
  </si>
  <si>
    <t>کيانپور نصرت الله</t>
  </si>
  <si>
    <t>کياني حسن</t>
  </si>
  <si>
    <t>محمدي معصومه</t>
  </si>
  <si>
    <t>محمودي بردزرد اميد</t>
  </si>
  <si>
    <t>محمودي ده کهنه علي</t>
  </si>
  <si>
    <t>مرادي چل سياه افراسياب</t>
  </si>
  <si>
    <t>مرادي نوترکي جهانبخش</t>
  </si>
  <si>
    <t>مقصوديان سياوش</t>
  </si>
  <si>
    <t>مکي پور سجاد</t>
  </si>
  <si>
    <t>موسوي زاده سيدعلي</t>
  </si>
  <si>
    <t>مولائي اصغر</t>
  </si>
  <si>
    <t>مهري ده نو پژمان</t>
  </si>
  <si>
    <t>نصيري منش فاطمه</t>
  </si>
  <si>
    <t>نوروزي نيا آزاده</t>
  </si>
  <si>
    <t>نوروزي نيا حسن</t>
  </si>
  <si>
    <t>اچرش اعظم</t>
  </si>
  <si>
    <t>اسدبهاء علي</t>
  </si>
  <si>
    <t>اسفندياري نژاد وحيد</t>
  </si>
  <si>
    <t>اميدزاده رضوان</t>
  </si>
  <si>
    <t>آذري نازنين</t>
  </si>
  <si>
    <t>بريحي سميه</t>
  </si>
  <si>
    <t>پرواز فاطمه</t>
  </si>
  <si>
    <t>پورمحمدشلهه حميد</t>
  </si>
  <si>
    <t>تامرادي بابائي نصير</t>
  </si>
  <si>
    <t>جعفرزاده آمنه</t>
  </si>
  <si>
    <t>جعفريان يسري</t>
  </si>
  <si>
    <t>جنادله فاطمه</t>
  </si>
  <si>
    <t>جوانمردي شيرين</t>
  </si>
  <si>
    <t>حسيني اصل سيده زينب</t>
  </si>
  <si>
    <t>خزلي ساميه</t>
  </si>
  <si>
    <t>خميسي عاليه</t>
  </si>
  <si>
    <t>خواجه دزفولي سعيد</t>
  </si>
  <si>
    <t>رجائي بهبهاني محمدرضا</t>
  </si>
  <si>
    <t>سواري ناصر</t>
  </si>
  <si>
    <t>شهروئي فرشيد</t>
  </si>
  <si>
    <t>صفري تيلا</t>
  </si>
  <si>
    <t>صمدي زاده محمد</t>
  </si>
  <si>
    <t>عکرش عادل</t>
  </si>
  <si>
    <t>فطرس مستوره</t>
  </si>
  <si>
    <t>فقداني حسن</t>
  </si>
  <si>
    <t>قنبري فرد خديجه</t>
  </si>
  <si>
    <t>کرم پور هومن</t>
  </si>
  <si>
    <t>لويمي راد حسن</t>
  </si>
  <si>
    <t>محمدي فروغ</t>
  </si>
  <si>
    <t>مرادي ياسين محمد</t>
  </si>
  <si>
    <t>ممبيني فاطمه</t>
  </si>
  <si>
    <t>منصوري ايران</t>
  </si>
  <si>
    <t>موسوي سيدسعيد</t>
  </si>
  <si>
    <t>نادي ناصر</t>
  </si>
  <si>
    <t>نعمتي حسن</t>
  </si>
  <si>
    <t>دزفول</t>
  </si>
  <si>
    <t>احتشام نيا عزيز</t>
  </si>
  <si>
    <t>احمدي بابادي زهرا</t>
  </si>
  <si>
    <t>ارقش غلامرضا</t>
  </si>
  <si>
    <t>اسکندري مرتضي</t>
  </si>
  <si>
    <t>اسمعيلي بياتياني فيض اله</t>
  </si>
  <si>
    <t>اميديان مسعود</t>
  </si>
  <si>
    <t>اميري پور زينب</t>
  </si>
  <si>
    <t>انصاري نيا امير هوشنگ</t>
  </si>
  <si>
    <t>ايزد حجت</t>
  </si>
  <si>
    <t>ايزد فاطمه</t>
  </si>
  <si>
    <t>ايزد مريم</t>
  </si>
  <si>
    <t>آبشنه حسن</t>
  </si>
  <si>
    <t>آخش محمدرضا</t>
  </si>
  <si>
    <t>باغبان زاده امين</t>
  </si>
  <si>
    <t>بختياري راد زينب</t>
  </si>
  <si>
    <t>بختياري زهرا</t>
  </si>
  <si>
    <t>بهراميان فاطمه</t>
  </si>
  <si>
    <t>پاپي اسد سارا</t>
  </si>
  <si>
    <t>پورحجت حجت</t>
  </si>
  <si>
    <t>پورمند منصور</t>
  </si>
  <si>
    <t>تاجدي سعيد</t>
  </si>
  <si>
    <t>تختائي عباس</t>
  </si>
  <si>
    <t>جعفري فيروز</t>
  </si>
  <si>
    <t>جعفري محمد</t>
  </si>
  <si>
    <t>جوهر زاده امير</t>
  </si>
  <si>
    <t>جهان آرا ويدا</t>
  </si>
  <si>
    <t>چله مال دزفولي نژاد ابراهيم</t>
  </si>
  <si>
    <t>حاتمي نسب حميدرضا</t>
  </si>
  <si>
    <t>حسن جاموسي محمد</t>
  </si>
  <si>
    <t>خرم محسن</t>
  </si>
  <si>
    <t>درويش زاده شهرزاد</t>
  </si>
  <si>
    <t>ديناري محمد حسين</t>
  </si>
  <si>
    <t>راشدي عبدالحسن</t>
  </si>
  <si>
    <t>رافع محسن</t>
  </si>
  <si>
    <t>رشيدپور سعيد</t>
  </si>
  <si>
    <t>رموي سکينه</t>
  </si>
  <si>
    <t>زارعي امين آبادي بهنام</t>
  </si>
  <si>
    <t>زالي کاکش پريسا</t>
  </si>
  <si>
    <t>ژولانژاد محمد</t>
  </si>
  <si>
    <t>ساکيان محمد</t>
  </si>
  <si>
    <t>سبزياني زينب</t>
  </si>
  <si>
    <t>سعادت فر نجمه</t>
  </si>
  <si>
    <t>سعد علي</t>
  </si>
  <si>
    <t>سقاي لوريان عادل</t>
  </si>
  <si>
    <t>سليمان زاده زهرا</t>
  </si>
  <si>
    <t>شبگردزاده فاطمه</t>
  </si>
  <si>
    <t>شلال نژاد حسين</t>
  </si>
  <si>
    <t>صالح بيگي محمدعلي</t>
  </si>
  <si>
    <t>صائبي فر محمد</t>
  </si>
  <si>
    <t>صميمي فر مصطفي</t>
  </si>
  <si>
    <t>صياديان عليرضا</t>
  </si>
  <si>
    <t>صيدي مينا</t>
  </si>
  <si>
    <t>طافي کامبيز</t>
  </si>
  <si>
    <t>عباسي مهدي</t>
  </si>
  <si>
    <t>عبدالشاه نژاد عليرضا</t>
  </si>
  <si>
    <t>عبداللهي کيا عليرضا</t>
  </si>
  <si>
    <t>عبدمحمدي معصومه</t>
  </si>
  <si>
    <t>عشيري خداداد</t>
  </si>
  <si>
    <t>علوي نسب سيدمحمدرضا</t>
  </si>
  <si>
    <t>علي پور کوتياني کبري</t>
  </si>
  <si>
    <t>عليخاني پيام</t>
  </si>
  <si>
    <t>عنايت زاده راضيه</t>
  </si>
  <si>
    <t>عنايت فرد حميد</t>
  </si>
  <si>
    <t>عنبرسر مسعود</t>
  </si>
  <si>
    <t>عيدي امير آبادي علي</t>
  </si>
  <si>
    <t>عيدي فراش علي</t>
  </si>
  <si>
    <t>فضلي اميد</t>
  </si>
  <si>
    <t>فلاطون نژاد امير</t>
  </si>
  <si>
    <t>فيض اله رضا</t>
  </si>
  <si>
    <t>قيصري نگار</t>
  </si>
  <si>
    <t>کارساز الهه</t>
  </si>
  <si>
    <t>کايدخورده مهرداد</t>
  </si>
  <si>
    <t>کتلان عليرضا</t>
  </si>
  <si>
    <t>گلشن زاده حسين</t>
  </si>
  <si>
    <t>گوهري دزفولي غلامرضا</t>
  </si>
  <si>
    <t>ماجدي فرد ناصر</t>
  </si>
  <si>
    <t>مبينيان حسين</t>
  </si>
  <si>
    <t>محمدبيدغي احمد</t>
  </si>
  <si>
    <t>محمودنژاد هوشنگ</t>
  </si>
  <si>
    <t>مرادي برزگرزاده مهدي</t>
  </si>
  <si>
    <t>ملائکه زاده رضا</t>
  </si>
  <si>
    <t>مهردوستي پريسا</t>
  </si>
  <si>
    <t>مؤمني محمد</t>
  </si>
  <si>
    <t>نامجو محمد</t>
  </si>
  <si>
    <t>نصيرملا معصومه</t>
  </si>
  <si>
    <t>نوري منش الهام</t>
  </si>
  <si>
    <t>ولي زاده نساج عبدالعلي</t>
  </si>
  <si>
    <t>يکرهي زاده معصومه</t>
  </si>
  <si>
    <t>يوسف گنجعلي علي</t>
  </si>
  <si>
    <t>خرمشهر</t>
  </si>
  <si>
    <t>احمد پور معرفي ناهيد</t>
  </si>
  <si>
    <t>افشارنيا عاطفه</t>
  </si>
  <si>
    <t>اکبري زاده احمد</t>
  </si>
  <si>
    <t>البوغبيش مهدي</t>
  </si>
  <si>
    <t>آب سالان اميد</t>
  </si>
  <si>
    <t>بچاري باقر</t>
  </si>
  <si>
    <t>بحريني شيدا</t>
  </si>
  <si>
    <t>بختياري فاطمه</t>
  </si>
  <si>
    <t>جاسم پورکنعاني طاهر</t>
  </si>
  <si>
    <t>جليليان شاپور</t>
  </si>
  <si>
    <t>جليليان مسعود</t>
  </si>
  <si>
    <t>حسيني زاده سيد وهاب</t>
  </si>
  <si>
    <t>حسيني مهتاب</t>
  </si>
  <si>
    <t>حسيني نصر معصومه</t>
  </si>
  <si>
    <t>حلاف فريبا</t>
  </si>
  <si>
    <t>حيدربيگي احمدرضا</t>
  </si>
  <si>
    <t>رضوي سيد محمد</t>
  </si>
  <si>
    <t>زباري اميد</t>
  </si>
  <si>
    <t>سبزغلامي مريم</t>
  </si>
  <si>
    <t>صفائي دربندي ناصر</t>
  </si>
  <si>
    <t>طرفي حسين</t>
  </si>
  <si>
    <t>عبدالخاني محسن</t>
  </si>
  <si>
    <t>عبيداوي صادق</t>
  </si>
  <si>
    <t>فرخ منش عبدالمهدي</t>
  </si>
  <si>
    <t>کوهساري علي</t>
  </si>
  <si>
    <t>محمدي رضا گاه کلثوم</t>
  </si>
  <si>
    <t>محيفظي عباس</t>
  </si>
  <si>
    <t>مدي نصاري ليلا</t>
  </si>
  <si>
    <t>مرداني طيبه</t>
  </si>
  <si>
    <t>منيخي نژاد وفا</t>
  </si>
  <si>
    <t>موسوي فرد سيد احمد</t>
  </si>
  <si>
    <t>مهدي فر سعيد</t>
  </si>
  <si>
    <t>ناصريان اصل ناهيد</t>
  </si>
  <si>
    <t>هاشمي سميع کاظم</t>
  </si>
  <si>
    <t>احمد محمدي رضا</t>
  </si>
  <si>
    <t>احمدي آمنه</t>
  </si>
  <si>
    <t>برزگر شليمکي زهرا</t>
  </si>
  <si>
    <t>بندريان اميرعلي</t>
  </si>
  <si>
    <t>بهوندپور اکبر</t>
  </si>
  <si>
    <t>بيت سياح وفا</t>
  </si>
  <si>
    <t>خبازيان سينا</t>
  </si>
  <si>
    <t>دشت بزرگ شيرين</t>
  </si>
  <si>
    <t>دهداري آرش</t>
  </si>
  <si>
    <t>رستم پور مهدي</t>
  </si>
  <si>
    <t>سياحي صادق</t>
  </si>
  <si>
    <t>طلاوري محمدحسن</t>
  </si>
  <si>
    <t>فتاحي ايمان</t>
  </si>
  <si>
    <t>منصور محمدعلي</t>
  </si>
  <si>
    <t>موسوي سيدجلال</t>
  </si>
  <si>
    <t>موسي زاده سيدعباس</t>
  </si>
  <si>
    <t>نعمتي پور نويد</t>
  </si>
  <si>
    <t>هشيار مارال</t>
  </si>
  <si>
    <t>احمدزاده لادن</t>
  </si>
  <si>
    <t>بهوندي مينا</t>
  </si>
  <si>
    <t>بيگدليان ولي الله</t>
  </si>
  <si>
    <t>پورمعماردزفولي آزاده</t>
  </si>
  <si>
    <t>خطير سعيد</t>
  </si>
  <si>
    <t>روزرخ پويا</t>
  </si>
  <si>
    <t>سلامات ناديا</t>
  </si>
  <si>
    <t>سيدصالحي شهرزاد</t>
  </si>
  <si>
    <t>شهرياري وحيد</t>
  </si>
  <si>
    <t>صارم ياراحمدي ارشک</t>
  </si>
  <si>
    <t>عماله نژاد فريده</t>
  </si>
  <si>
    <t>غلامي بابک</t>
  </si>
  <si>
    <t>فردچناني نسيمه</t>
  </si>
  <si>
    <t>فلاح مقدم سياوش</t>
  </si>
  <si>
    <t>گودرزي ليلا</t>
  </si>
  <si>
    <t>محمدپور صالح</t>
  </si>
  <si>
    <t>مرادي صادق</t>
  </si>
  <si>
    <t>مندني اورکي پريسا</t>
  </si>
  <si>
    <t>ماهشهر</t>
  </si>
  <si>
    <t>احمدنژاديان لفته</t>
  </si>
  <si>
    <t>افرند ساناز</t>
  </si>
  <si>
    <t>برومندپور غزال</t>
  </si>
  <si>
    <t>بناري غلامحسن</t>
  </si>
  <si>
    <t>بهشتي سيده شبنم</t>
  </si>
  <si>
    <t>بيروني اسماعيل</t>
  </si>
  <si>
    <t>پناهيان محمد</t>
  </si>
  <si>
    <t>جعفري نژاد اميد</t>
  </si>
  <si>
    <t>جوکاري سيف اله</t>
  </si>
  <si>
    <t>چابک رو محمد</t>
  </si>
  <si>
    <t>چاروسائي مهدي</t>
  </si>
  <si>
    <t>حسيني وحيد</t>
  </si>
  <si>
    <t>حطه علي</t>
  </si>
  <si>
    <t>حياتي بهزاد</t>
  </si>
  <si>
    <t>حياتي محمد امير</t>
  </si>
  <si>
    <t>حيدري حکيمه</t>
  </si>
  <si>
    <t>خلفي صادق</t>
  </si>
  <si>
    <t>دوپلاني پيمان</t>
  </si>
  <si>
    <t>راست روش احمد</t>
  </si>
  <si>
    <t>سرشار عليرضا</t>
  </si>
  <si>
    <t>شامديل ايمان</t>
  </si>
  <si>
    <t>شعباني افشين</t>
  </si>
  <si>
    <t>شعباني زهرا</t>
  </si>
  <si>
    <t>شياني تراکمه مائده</t>
  </si>
  <si>
    <t>صفرپور گل اسفيدي سيده سارا</t>
  </si>
  <si>
    <t>طبيب زاده سجاد</t>
  </si>
  <si>
    <t>عاشوري سارا</t>
  </si>
  <si>
    <t>عبادي خسرو</t>
  </si>
  <si>
    <t>عبيدي جمشيد</t>
  </si>
  <si>
    <t>علوي محمد</t>
  </si>
  <si>
    <t>غلامي زهرا</t>
  </si>
  <si>
    <t>فدعمي غلامعباس</t>
  </si>
  <si>
    <t>کعبي هناء</t>
  </si>
  <si>
    <t>کمائي فروغ</t>
  </si>
  <si>
    <t>مترجمي پور علي</t>
  </si>
  <si>
    <t>مورد الهي ماندانا</t>
  </si>
  <si>
    <t>موسوي سيد احمد</t>
  </si>
  <si>
    <t>موسوي سيده مرضيه</t>
  </si>
  <si>
    <t>موسي پور معصومه</t>
  </si>
  <si>
    <t>مؤمني راد مکي</t>
  </si>
  <si>
    <t>ناصرپور نصير</t>
  </si>
  <si>
    <t>تدارکات</t>
  </si>
  <si>
    <t>احمدي بلوطکي مهدي</t>
  </si>
  <si>
    <t>احمدي مينا</t>
  </si>
  <si>
    <t>اسکندري عباس</t>
  </si>
  <si>
    <t>بيت حردان عبدالزهرا</t>
  </si>
  <si>
    <t>بيرانوند سعيد</t>
  </si>
  <si>
    <t>تيمان محمد</t>
  </si>
  <si>
    <t>جولي زنگنه آرش</t>
  </si>
  <si>
    <t>جولي زنگنه فر مجيد</t>
  </si>
  <si>
    <t>حاجي زاده آنا</t>
  </si>
  <si>
    <t>خوگر عليرضا</t>
  </si>
  <si>
    <t>رافع سيدفرهاد</t>
  </si>
  <si>
    <t>رضائي زاده ايمان</t>
  </si>
  <si>
    <t>ساعدي اسحاق</t>
  </si>
  <si>
    <t>سرخي پور نعيم</t>
  </si>
  <si>
    <t>سعدوني محمدطه</t>
  </si>
  <si>
    <t>سعيدي منا</t>
  </si>
  <si>
    <t>سياحي اسکندر</t>
  </si>
  <si>
    <t>سياحي رستم</t>
  </si>
  <si>
    <t>شجاعي حسين</t>
  </si>
  <si>
    <t>شريجي پور فوأد</t>
  </si>
  <si>
    <t>شريفي حبيب</t>
  </si>
  <si>
    <t>شريفي محمد</t>
  </si>
  <si>
    <t>غلامي عظيم</t>
  </si>
  <si>
    <t>کردوني رضا</t>
  </si>
  <si>
    <t>مد مليل مژگان</t>
  </si>
  <si>
    <t>مرحباي علي</t>
  </si>
  <si>
    <t>مزعلي جواد</t>
  </si>
  <si>
    <t>مسيحي شاه بانو</t>
  </si>
  <si>
    <t>ملائي حسين</t>
  </si>
  <si>
    <t>نعمتي حامد</t>
  </si>
  <si>
    <t>بندرامام</t>
  </si>
  <si>
    <t>احمدي عبدالباقر</t>
  </si>
  <si>
    <t>اسدي اصل امير</t>
  </si>
  <si>
    <t>اقبالي بابادي علي</t>
  </si>
  <si>
    <t>بشيري عبدالنبي</t>
  </si>
  <si>
    <t>پيام امين</t>
  </si>
  <si>
    <t>حميد حسن</t>
  </si>
  <si>
    <t>دارمي زاده عاتقه</t>
  </si>
  <si>
    <t>درخش کميل</t>
  </si>
  <si>
    <t>درخشندگان عمار</t>
  </si>
  <si>
    <t>دريس طويجات بهادر</t>
  </si>
  <si>
    <t>دريس فاطمه</t>
  </si>
  <si>
    <t>راشدي آرزو</t>
  </si>
  <si>
    <t>رستگارپور نعمت اله</t>
  </si>
  <si>
    <t>زارع اکرم</t>
  </si>
  <si>
    <t>ساداتي زينب</t>
  </si>
  <si>
    <t>ستاري سحر</t>
  </si>
  <si>
    <t>شريفي پور سهام</t>
  </si>
  <si>
    <t>عبادي مکي</t>
  </si>
  <si>
    <t>عساکره حمدان</t>
  </si>
  <si>
    <t>عصفورمطوري حسين</t>
  </si>
  <si>
    <t>فرحاني مجد عبدالحسن</t>
  </si>
  <si>
    <t>فکوري زاده ايمان</t>
  </si>
  <si>
    <t>قيم علي</t>
  </si>
  <si>
    <t>کرمي زاده حسن</t>
  </si>
  <si>
    <t>مرادي صبا</t>
  </si>
  <si>
    <t>مستولي حجت اله</t>
  </si>
  <si>
    <t>معاشي سيده راضيه</t>
  </si>
  <si>
    <t>وطنخواه عاطفه</t>
  </si>
  <si>
    <t>احمدي محمد</t>
  </si>
  <si>
    <t>اسمري رضيه</t>
  </si>
  <si>
    <t>بختياري زاده کورش</t>
  </si>
  <si>
    <t>بني طرف مينا</t>
  </si>
  <si>
    <t>جمال پور فرزاد</t>
  </si>
  <si>
    <t>حبيبي الهام</t>
  </si>
  <si>
    <t>حسيني اصل محمدرضا</t>
  </si>
  <si>
    <t>حيدري حميد</t>
  </si>
  <si>
    <t>درشت عبدالامير</t>
  </si>
  <si>
    <t>زمان پور آرزو</t>
  </si>
  <si>
    <t>ساکي محمدعلي</t>
  </si>
  <si>
    <t>سهيلي پور امين</t>
  </si>
  <si>
    <t>شوشي عباس</t>
  </si>
  <si>
    <t>صادقي عباس</t>
  </si>
  <si>
    <t>صباحي مقدم خلود</t>
  </si>
  <si>
    <t>عباسي فريده</t>
  </si>
  <si>
    <t>قرباني پروانه</t>
  </si>
  <si>
    <t>کلاه کج داود</t>
  </si>
  <si>
    <t>محمدپور مسلم</t>
  </si>
  <si>
    <t>محمودي راد مريم</t>
  </si>
  <si>
    <t>مراحنه امين</t>
  </si>
  <si>
    <t>نظري عبدالله</t>
  </si>
  <si>
    <t>هاشمي نسب زينب</t>
  </si>
  <si>
    <t>يزداني فرد فرشته</t>
  </si>
  <si>
    <t>باغملک</t>
  </si>
  <si>
    <t>احمدي معصومه</t>
  </si>
  <si>
    <t>آبسته مني</t>
  </si>
  <si>
    <t>بيگدليان اکبر</t>
  </si>
  <si>
    <t>حسيني سيد مصطفي</t>
  </si>
  <si>
    <t>رفيع پور صادق</t>
  </si>
  <si>
    <t>زنگنه مهسا</t>
  </si>
  <si>
    <t>سعادت زاده رحمت الله</t>
  </si>
  <si>
    <t>سواري حشمت اله</t>
  </si>
  <si>
    <t>سيفي زنگنه درويشي مسعود</t>
  </si>
  <si>
    <t>عالي پور نعمت اله</t>
  </si>
  <si>
    <t>کريمي علي</t>
  </si>
  <si>
    <t>لطفي زنگنه درويش ايمان</t>
  </si>
  <si>
    <t>ممبني صالحي صغري</t>
  </si>
  <si>
    <t>ممبيني سجاد</t>
  </si>
  <si>
    <t>گتوند</t>
  </si>
  <si>
    <t>احمدي نوشاد</t>
  </si>
  <si>
    <t>اسمعيل چگني منصور</t>
  </si>
  <si>
    <t>حسين پناه جعفر</t>
  </si>
  <si>
    <t>خسروي مسلم</t>
  </si>
  <si>
    <t>رحيمي زاده عليرضا</t>
  </si>
  <si>
    <t>ساقي حسين</t>
  </si>
  <si>
    <t>شاپوري رضوان</t>
  </si>
  <si>
    <t>شاهمرادي مسعود</t>
  </si>
  <si>
    <t>شيرعلي زاده علي</t>
  </si>
  <si>
    <t>صالحي مهدي</t>
  </si>
  <si>
    <t>صفائي زاده محمد</t>
  </si>
  <si>
    <t>فتحي مسلم</t>
  </si>
  <si>
    <t>محمدزاده عبداله</t>
  </si>
  <si>
    <t>مندني فر ابراهيم</t>
  </si>
  <si>
    <t>مهرابي راد شاهرخ</t>
  </si>
  <si>
    <t>نصراله پور روبخير</t>
  </si>
  <si>
    <t>امیدیه</t>
  </si>
  <si>
    <t>اختري ليلا</t>
  </si>
  <si>
    <t>البوعلي داودي حسين</t>
  </si>
  <si>
    <t>چاميان حسين</t>
  </si>
  <si>
    <t>دستخوان الهام</t>
  </si>
  <si>
    <t>دهبان پور سيده نجمه</t>
  </si>
  <si>
    <t>روزبه مجيد</t>
  </si>
  <si>
    <t>زيدوني مهدي</t>
  </si>
  <si>
    <t>سوقي بهروز</t>
  </si>
  <si>
    <t>شجاعي سميه</t>
  </si>
  <si>
    <t>شريفات کاظم</t>
  </si>
  <si>
    <t>شريفات هاشم</t>
  </si>
  <si>
    <t>شريفاتيان عبدالرضا</t>
  </si>
  <si>
    <t>عباسي امير</t>
  </si>
  <si>
    <t>فرحاني عادل</t>
  </si>
  <si>
    <t>فصيحي اردکاني رضا</t>
  </si>
  <si>
    <t>قدوسي زهرا</t>
  </si>
  <si>
    <t>کيانپور امين</t>
  </si>
  <si>
    <t>نوروزي لرکي نگار</t>
  </si>
  <si>
    <t>بهبهان</t>
  </si>
  <si>
    <t>ارجاني سيدعبدالرضا</t>
  </si>
  <si>
    <t>اسمي زاده وحيد</t>
  </si>
  <si>
    <t>اورشي صادق</t>
  </si>
  <si>
    <t>آباد مسعود</t>
  </si>
  <si>
    <t>بافنده پور احمد</t>
  </si>
  <si>
    <t>باقرپور عبدالامير</t>
  </si>
  <si>
    <t>تابان سارا</t>
  </si>
  <si>
    <t>جاويد علي</t>
  </si>
  <si>
    <t>جراحي محسن</t>
  </si>
  <si>
    <t>جعفرنيا زهرا</t>
  </si>
  <si>
    <t>جناني عليرضا</t>
  </si>
  <si>
    <t>جنتي منش جعفر</t>
  </si>
  <si>
    <t>جوانمردي خيرالله</t>
  </si>
  <si>
    <t>حسيني حميد</t>
  </si>
  <si>
    <t>حسيني محمدعلي</t>
  </si>
  <si>
    <t>حقيقت محمدهادي</t>
  </si>
  <si>
    <t>خرم نيا عبدالمجيد</t>
  </si>
  <si>
    <t>دستمزد علي</t>
  </si>
  <si>
    <t>دل آويزله بيد فاضل</t>
  </si>
  <si>
    <t>دين پناه حسين</t>
  </si>
  <si>
    <t>راوندي فاطمه</t>
  </si>
  <si>
    <t>راهبر کاوه</t>
  </si>
  <si>
    <t>رحيمي پور ولي</t>
  </si>
  <si>
    <t>رحيمي فاطمه</t>
  </si>
  <si>
    <t>رنگ بست سياوش</t>
  </si>
  <si>
    <t>ريشهري زاده رويا</t>
  </si>
  <si>
    <t>زرين درخت عبدالرضا</t>
  </si>
  <si>
    <t>زماني وحيد</t>
  </si>
  <si>
    <t>سبزي والا شاپور</t>
  </si>
  <si>
    <t>شب آهنگ عبدالمجيد</t>
  </si>
  <si>
    <t>شجاعي رامين</t>
  </si>
  <si>
    <t>شجاعي فاضل</t>
  </si>
  <si>
    <t>شجاعي محسن</t>
  </si>
  <si>
    <t>شکاري حميرا</t>
  </si>
  <si>
    <t>صالحي فرد طيبه</t>
  </si>
  <si>
    <t>عاليان ناصر</t>
  </si>
  <si>
    <t>عسکرپور عبدالرحمان</t>
  </si>
  <si>
    <t>عظيمي راد علي</t>
  </si>
  <si>
    <t>علي پور عليرضا</t>
  </si>
  <si>
    <t>غفاري راد احمدرضا</t>
  </si>
  <si>
    <t>فرازي فرشته</t>
  </si>
  <si>
    <t>قناطير فرخ</t>
  </si>
  <si>
    <t>گوهري نعمت  اله</t>
  </si>
  <si>
    <t>مبارکي محسن</t>
  </si>
  <si>
    <t>مترصد داريوش</t>
  </si>
  <si>
    <t>محمد رضائي طوبا</t>
  </si>
  <si>
    <t>محمدپور مجيد</t>
  </si>
  <si>
    <t>مرادپور زهره</t>
  </si>
  <si>
    <t>مربوطي زينب</t>
  </si>
  <si>
    <t>مشهدي عبدالحميد</t>
  </si>
  <si>
    <t>مظفري حجت اله</t>
  </si>
  <si>
    <t>مظلومي ابزرگه عبداله</t>
  </si>
  <si>
    <t>معتقد خيرالله</t>
  </si>
  <si>
    <t>مودت اميرحسين</t>
  </si>
  <si>
    <t>ناصري سيدامين</t>
  </si>
  <si>
    <t>نايبي بهبهاني رضا</t>
  </si>
  <si>
    <t>ويسي شکراله</t>
  </si>
  <si>
    <t>هاشمي زاده سيد محمد رضا</t>
  </si>
  <si>
    <t>ارديان شيلا</t>
  </si>
  <si>
    <t>اشتري مهدي</t>
  </si>
  <si>
    <t>بهادري پور نسرين</t>
  </si>
  <si>
    <t>بهور سيدجلالدين</t>
  </si>
  <si>
    <t>حسوني زاده احمد</t>
  </si>
  <si>
    <t>حقيقت علي  اصغر</t>
  </si>
  <si>
    <t>روشنائي زاده منصور</t>
  </si>
  <si>
    <t>زرگر طالبي کميل</t>
  </si>
  <si>
    <t>زريان صادق</t>
  </si>
  <si>
    <t>زريان فاطمه</t>
  </si>
  <si>
    <t>زماني گرمسيري زهرا</t>
  </si>
  <si>
    <t>سلطاني نيا هدا</t>
  </si>
  <si>
    <t>شيوا مهرنوش</t>
  </si>
  <si>
    <t>فدوي زاده نيلوفر</t>
  </si>
  <si>
    <t>کمالي فريبا</t>
  </si>
  <si>
    <t>اسبحي عصمت</t>
  </si>
  <si>
    <t>بن طريف منا</t>
  </si>
  <si>
    <t>بهزادي شيخ رباط مريم</t>
  </si>
  <si>
    <t>بيژن منش لادن</t>
  </si>
  <si>
    <t>حسيني رضا</t>
  </si>
  <si>
    <t>حيدري معصومه</t>
  </si>
  <si>
    <t>دارابي آزاده</t>
  </si>
  <si>
    <t>ساماني پارسا سعيد</t>
  </si>
  <si>
    <t>سيه کار آزاده</t>
  </si>
  <si>
    <t>عاقلي زهرا</t>
  </si>
  <si>
    <t>عفري نژاد ناصر</t>
  </si>
  <si>
    <t>غزاوي صالحه</t>
  </si>
  <si>
    <t>کريمي پور عبدالکريم</t>
  </si>
  <si>
    <t>مزعل مزرعي عيسي</t>
  </si>
  <si>
    <t>استاد محمدي فروغ</t>
  </si>
  <si>
    <t>الماسي مرتضي</t>
  </si>
  <si>
    <t>اميدبختياري شهرزاد</t>
  </si>
  <si>
    <t>ايسپره مهدي</t>
  </si>
  <si>
    <t>آقائي نجمه</t>
  </si>
  <si>
    <t>بيداردل حامد</t>
  </si>
  <si>
    <t>خورشيدي آذين</t>
  </si>
  <si>
    <t>رشيدي فرد سعيد</t>
  </si>
  <si>
    <t>رئيسي وستگاني نسرين</t>
  </si>
  <si>
    <t>عوده پور سيد مرتضي</t>
  </si>
  <si>
    <t>کريمي خليل</t>
  </si>
  <si>
    <t>کلاه کج نيلوفر</t>
  </si>
  <si>
    <t>محمدي الاسوند فردوس</t>
  </si>
  <si>
    <t>محمدي هدي</t>
  </si>
  <si>
    <t>محمديان مسعود</t>
  </si>
  <si>
    <t>مهدي زاده تدوئي شاهرخ</t>
  </si>
  <si>
    <t>ذیحسابی</t>
  </si>
  <si>
    <t>اسد بلند محمد</t>
  </si>
  <si>
    <t>باراني ماريا</t>
  </si>
  <si>
    <t>براجعه الهام</t>
  </si>
  <si>
    <t>خطاعي علي</t>
  </si>
  <si>
    <t>زيدي نيا علي</t>
  </si>
  <si>
    <t>شحاني مرجان</t>
  </si>
  <si>
    <t>طاهري فرد احمدرضا</t>
  </si>
  <si>
    <t>علي پورعباسي بيان</t>
  </si>
  <si>
    <t>قانع نسترن</t>
  </si>
  <si>
    <t>کريمي زهرا</t>
  </si>
  <si>
    <t>محاميد حميد</t>
  </si>
  <si>
    <t>يزدان پناه بيتا</t>
  </si>
  <si>
    <t>اسدي مسلم</t>
  </si>
  <si>
    <t>اله ديني شيوا</t>
  </si>
  <si>
    <t>آيتي سيده پروين</t>
  </si>
  <si>
    <t>تاج حبيب اله</t>
  </si>
  <si>
    <t>جديدي اکرم</t>
  </si>
  <si>
    <t>درايش زاده عاليه</t>
  </si>
  <si>
    <t>راهي مالکي محمد</t>
  </si>
  <si>
    <t>رضائي مينا</t>
  </si>
  <si>
    <t>طباطبائي سيدعلي</t>
  </si>
  <si>
    <t>عباسي مرضيه</t>
  </si>
  <si>
    <t>قلندري زاده فرد عليرضا</t>
  </si>
  <si>
    <t>کتانباف نژاد محمود</t>
  </si>
  <si>
    <t>کريمي منجرموئي نواب</t>
  </si>
  <si>
    <t>کوت زاده هادي</t>
  </si>
  <si>
    <t>مشاک فريبا</t>
  </si>
  <si>
    <t>موسوي اکرم</t>
  </si>
  <si>
    <t>موسوي جرفي فاطمه سادات</t>
  </si>
  <si>
    <t>مهدي پور مينا</t>
  </si>
  <si>
    <t>هرمزي اسماعيل</t>
  </si>
  <si>
    <t>مدیریت</t>
  </si>
  <si>
    <t>اسدي نسب حجت اله</t>
  </si>
  <si>
    <t>اسلامي اصل غلامرضا</t>
  </si>
  <si>
    <t>اسمي زاده ايرج</t>
  </si>
  <si>
    <t>اکراميان ابراهيم</t>
  </si>
  <si>
    <t>الاسوند عزيزاله</t>
  </si>
  <si>
    <t>البوغبيش نعيم</t>
  </si>
  <si>
    <t>الماسي سعيد</t>
  </si>
  <si>
    <t>آباد روح اله</t>
  </si>
  <si>
    <t>آيرمي فرشيد</t>
  </si>
  <si>
    <t>بختياري حامد</t>
  </si>
  <si>
    <t>بخشنده فر رامين</t>
  </si>
  <si>
    <t>بشار مجيد</t>
  </si>
  <si>
    <t>بهراد حسن</t>
  </si>
  <si>
    <t>پاک منش مرتضي</t>
  </si>
  <si>
    <t>پورمحمدي شهنام</t>
  </si>
  <si>
    <t>پورمعمار دزفولي سجاد</t>
  </si>
  <si>
    <t>جلالي عبدالرضا</t>
  </si>
  <si>
    <t>جلالي علي</t>
  </si>
  <si>
    <t>جلالي کريم</t>
  </si>
  <si>
    <t>جليلي امرالله</t>
  </si>
  <si>
    <t>جليلي خدايار</t>
  </si>
  <si>
    <t>چراغي مهين</t>
  </si>
  <si>
    <t>چلداوي لفته</t>
  </si>
  <si>
    <t>حاجي زاده عزت  اله</t>
  </si>
  <si>
    <t>حاجي زاده غلامعباس</t>
  </si>
  <si>
    <t>حمودي حسن</t>
  </si>
  <si>
    <t>حميد رحمان</t>
  </si>
  <si>
    <t>خادمي نيا مهدي</t>
  </si>
  <si>
    <t>خدامرادي ياسر</t>
  </si>
  <si>
    <t>خدائي راد محمد</t>
  </si>
  <si>
    <t>خورشيدي علي</t>
  </si>
  <si>
    <t>درويشي فردين</t>
  </si>
  <si>
    <t>درويشي مصطفي</t>
  </si>
  <si>
    <t>رحيمي زاده محمود</t>
  </si>
  <si>
    <t>رزمجو سيدمهرداد</t>
  </si>
  <si>
    <t>رزمجو مجاهد</t>
  </si>
  <si>
    <t>رستمي داريوش</t>
  </si>
  <si>
    <t>رقائيان کتي</t>
  </si>
  <si>
    <t>رئوف نيا حميد</t>
  </si>
  <si>
    <t>زادمهر عظيم</t>
  </si>
  <si>
    <t>زنگنه پارسا هدايت</t>
  </si>
  <si>
    <t>ساجدي محمدرضا</t>
  </si>
  <si>
    <t>سبزي پور اسمعيل</t>
  </si>
  <si>
    <t>شاهمرادي علي</t>
  </si>
  <si>
    <t>شجاعي صديقه</t>
  </si>
  <si>
    <t>شريجي پور فرهاد</t>
  </si>
  <si>
    <t>شريفي حسن</t>
  </si>
  <si>
    <t>صالحي سيدعلي</t>
  </si>
  <si>
    <t>صفاريان فردين</t>
  </si>
  <si>
    <t>طهماسبي کورش</t>
  </si>
  <si>
    <t>طهماسبي ويدا</t>
  </si>
  <si>
    <t>طيب غلامرضا</t>
  </si>
  <si>
    <t>عبادي علي</t>
  </si>
  <si>
    <t>عباسي يوسف</t>
  </si>
  <si>
    <t>عزيزي فرزاد</t>
  </si>
  <si>
    <t>عطوفت بهنام</t>
  </si>
  <si>
    <t>عيسي پورعسکري محمدعلي</t>
  </si>
  <si>
    <t>فاضلي سيد جواد</t>
  </si>
  <si>
    <t>فرجام رضا</t>
  </si>
  <si>
    <t>فولادي وندا زهرا</t>
  </si>
  <si>
    <t>قلعه جوقي جلال</t>
  </si>
  <si>
    <t>قمشي عليرضا</t>
  </si>
  <si>
    <t>قنبري بيرگاني کيومرث</t>
  </si>
  <si>
    <t>قيطانچي محمدرضا</t>
  </si>
  <si>
    <t>کامروافر سيدمحمد</t>
  </si>
  <si>
    <t>کريم پور نعمت  اله</t>
  </si>
  <si>
    <t>کياني ارسلان</t>
  </si>
  <si>
    <t>گندمي مرضيه</t>
  </si>
  <si>
    <t>مبين محمدحسن</t>
  </si>
  <si>
    <t>مجدمي رحمت  اله</t>
  </si>
  <si>
    <t>محمديان مهرزاد</t>
  </si>
  <si>
    <t>محمودي حاصل</t>
  </si>
  <si>
    <t>مرادزاده مجاهد</t>
  </si>
  <si>
    <t>مرساقيان فرامرز</t>
  </si>
  <si>
    <t>مسگران بهروز</t>
  </si>
  <si>
    <t>مصباح مهدي</t>
  </si>
  <si>
    <t>ممبيني احمد</t>
  </si>
  <si>
    <t>موالي زاده سيداحسان</t>
  </si>
  <si>
    <t>ميدري اسماعيل</t>
  </si>
  <si>
    <t>مير علي پور عادل</t>
  </si>
  <si>
    <t>نادري نژاد مريم</t>
  </si>
  <si>
    <t>نساج سارا</t>
  </si>
  <si>
    <t>نصيراوي علي</t>
  </si>
  <si>
    <t>نورالدين محمدزاهد</t>
  </si>
  <si>
    <t>نورمحمدي محمدعلي</t>
  </si>
  <si>
    <t>نوروزي شهرام</t>
  </si>
  <si>
    <t>هدايت پور محمدسعيد</t>
  </si>
  <si>
    <t>هرمزي عنايت الله</t>
  </si>
  <si>
    <t>هوشداري غلامرضا</t>
  </si>
  <si>
    <t>هوشمندزاده محمدرضا</t>
  </si>
  <si>
    <t>اموراداری</t>
  </si>
  <si>
    <t>اسلامي طرفي هدي</t>
  </si>
  <si>
    <t>اشتري لرکي مرضيه</t>
  </si>
  <si>
    <t>آخش سيد شافع</t>
  </si>
  <si>
    <t>بهمئي اعظم</t>
  </si>
  <si>
    <t>جنادله ياسمين</t>
  </si>
  <si>
    <t>جنت مکان مصطفي</t>
  </si>
  <si>
    <t>خنفري صديقه</t>
  </si>
  <si>
    <t>خوشنامي حديثه</t>
  </si>
  <si>
    <t>داورپناه فرشاد</t>
  </si>
  <si>
    <t>درويش فراش طاهره</t>
  </si>
  <si>
    <t>سيلاوي عيسي</t>
  </si>
  <si>
    <t>شادي روناک</t>
  </si>
  <si>
    <t>نامداري محمد رضا</t>
  </si>
  <si>
    <t>بودجه</t>
  </si>
  <si>
    <t>اصلاني مارال</t>
  </si>
  <si>
    <t>آوري عصمت</t>
  </si>
  <si>
    <t>اعما مهدي</t>
  </si>
  <si>
    <t>افتخاري زاده محمدحسين</t>
  </si>
  <si>
    <t>اورکي کوشور محسن</t>
  </si>
  <si>
    <t>آقاجري زهرا</t>
  </si>
  <si>
    <t>بيت سياح ايمان</t>
  </si>
  <si>
    <t>پيرزاده نرگس</t>
  </si>
  <si>
    <t>چراغي آرزو</t>
  </si>
  <si>
    <t>چشمه خاور بهروز</t>
  </si>
  <si>
    <t>حمودي حسين</t>
  </si>
  <si>
    <t>خرمي زهرا</t>
  </si>
  <si>
    <t>دلپاک طاهره</t>
  </si>
  <si>
    <t>رشنوادي امين</t>
  </si>
  <si>
    <t>رشيدي علي</t>
  </si>
  <si>
    <t>زرگر طالبي فاطمه</t>
  </si>
  <si>
    <t>شايان نژاد زهرا</t>
  </si>
  <si>
    <t>شيخ زهره</t>
  </si>
  <si>
    <t>شيخي کبري</t>
  </si>
  <si>
    <t>صميمي امين</t>
  </si>
  <si>
    <t>صنيعي مريم</t>
  </si>
  <si>
    <t>عبدالخان حسن</t>
  </si>
  <si>
    <t>عبدالهي عليرضا</t>
  </si>
  <si>
    <t>عبدي پور اسفنديار</t>
  </si>
  <si>
    <t>قرباني عيسي</t>
  </si>
  <si>
    <t>قنواتي فاطمه</t>
  </si>
  <si>
    <t>کردوني مسعود</t>
  </si>
  <si>
    <t>گاموري فاطمه</t>
  </si>
  <si>
    <t>لويمي رضا</t>
  </si>
  <si>
    <t>مراداسکندري حيدر</t>
  </si>
  <si>
    <t>مرحباي سجاد</t>
  </si>
  <si>
    <t>نجم بين محسن</t>
  </si>
  <si>
    <t>هادي زاده زهرا</t>
  </si>
  <si>
    <t>اکرامي مريم</t>
  </si>
  <si>
    <t>بخشي برد شاهي علي</t>
  </si>
  <si>
    <t>پاک سرشت محمد حسين</t>
  </si>
  <si>
    <t>حسيني سيده معصومه</t>
  </si>
  <si>
    <t>دلاورفرد علي</t>
  </si>
  <si>
    <t>شجاعي آنا</t>
  </si>
  <si>
    <t>شيردل محسن</t>
  </si>
  <si>
    <t>عالمي خاطره</t>
  </si>
  <si>
    <t>عبيداوي عبدالرضا</t>
  </si>
  <si>
    <t>غبيشاوي عبدالخالق</t>
  </si>
  <si>
    <t>کاوش ابراهيم</t>
  </si>
  <si>
    <t>نقي ترابي محمدياسين</t>
  </si>
  <si>
    <t>هوشداري مريم</t>
  </si>
  <si>
    <t>رامهرمز</t>
  </si>
  <si>
    <t>اميرپور زهرا</t>
  </si>
  <si>
    <t>انصاري نيا يدالله</t>
  </si>
  <si>
    <t>آذرم رباب</t>
  </si>
  <si>
    <t>بدري احسان</t>
  </si>
  <si>
    <t>براتي خديجه</t>
  </si>
  <si>
    <t>بهروزي نجمه</t>
  </si>
  <si>
    <t>بهمني پور عيسي</t>
  </si>
  <si>
    <t>جلالي حمداله</t>
  </si>
  <si>
    <t>حاجي زاده امامقلي</t>
  </si>
  <si>
    <t>حاجي زاده کبري</t>
  </si>
  <si>
    <t>رستمي اصل عبدالله</t>
  </si>
  <si>
    <t>سرکهکي فاطمه</t>
  </si>
  <si>
    <t>صديق آمنه</t>
  </si>
  <si>
    <t>فتحي عبدالحميد</t>
  </si>
  <si>
    <t>فتحي علي</t>
  </si>
  <si>
    <t>مرادي حميد</t>
  </si>
  <si>
    <t>ملک زاده ملک</t>
  </si>
  <si>
    <t>نوروزي سخا عبداله</t>
  </si>
  <si>
    <t>نيکخواه احسان</t>
  </si>
  <si>
    <t>هرمزي احسان</t>
  </si>
  <si>
    <t>يوسفي عطاءالله</t>
  </si>
  <si>
    <t>اميري صدر اسحق</t>
  </si>
  <si>
    <t>باوي فرد سميرا</t>
  </si>
  <si>
    <t>بايماني نژاد اسمعيل</t>
  </si>
  <si>
    <t>جلالي نسب صادق</t>
  </si>
  <si>
    <t>حاجي حصاري راضيه</t>
  </si>
  <si>
    <t>سواري اشرف</t>
  </si>
  <si>
    <t>شجاعي زهرا</t>
  </si>
  <si>
    <t>شيري مهدي</t>
  </si>
  <si>
    <t>طباطبائي سيد ه مدينه</t>
  </si>
  <si>
    <t>کوزه ساز زاده محمد</t>
  </si>
  <si>
    <t>ممبيني مهناز</t>
  </si>
  <si>
    <t>يار علي مرضيه</t>
  </si>
  <si>
    <t>شادگان</t>
  </si>
  <si>
    <t>اميري ماجد</t>
  </si>
  <si>
    <t>دانشمند حمدالله</t>
  </si>
  <si>
    <t>دورقي ماجد</t>
  </si>
  <si>
    <t>رستگار حبيب</t>
  </si>
  <si>
    <t>شريفي نظر فوأد</t>
  </si>
  <si>
    <t>عساکره يسري</t>
  </si>
  <si>
    <t>غبيشاوي ابتسام</t>
  </si>
  <si>
    <t>نوروزي فاطمه</t>
  </si>
  <si>
    <t>يوسفيان پور ازهار</t>
  </si>
  <si>
    <t>اميني اصل اسماعيل</t>
  </si>
  <si>
    <t>اورنگي ايمان</t>
  </si>
  <si>
    <t>بالدي آمنه</t>
  </si>
  <si>
    <t>بزرگ زاده سيدمحسن</t>
  </si>
  <si>
    <t>بصير سيدمسعود</t>
  </si>
  <si>
    <t>بقايي نژاد سارا</t>
  </si>
  <si>
    <t>جلالي محمدرضا</t>
  </si>
  <si>
    <t>حسناوي نويد</t>
  </si>
  <si>
    <t>خادم سبزقبا احمد</t>
  </si>
  <si>
    <t>خورشيدي اکرم</t>
  </si>
  <si>
    <t>دلفي مهدي</t>
  </si>
  <si>
    <t>رحماني محمد</t>
  </si>
  <si>
    <t>سياحي محمود</t>
  </si>
  <si>
    <t>شريفي تبار سيما</t>
  </si>
  <si>
    <t>صابري عاطفه</t>
  </si>
  <si>
    <t>محسيني محمدصادق</t>
  </si>
  <si>
    <t>محمدي لندي سميه</t>
  </si>
  <si>
    <t>محيسني فاطمه</t>
  </si>
  <si>
    <t>مسلمي موسي</t>
  </si>
  <si>
    <t>موسويان سيدعلي اکبر</t>
  </si>
  <si>
    <t>مهديان سلطان آبادي کبري</t>
  </si>
  <si>
    <t>ناصري اصل غيث</t>
  </si>
  <si>
    <t>نبهان حسين</t>
  </si>
  <si>
    <t>نظري زاده حسين</t>
  </si>
  <si>
    <t>اندیمشک</t>
  </si>
  <si>
    <t>امينيان عبدالکريم</t>
  </si>
  <si>
    <t>انگشتريان رحم خدا</t>
  </si>
  <si>
    <t>ايزد معصومه</t>
  </si>
  <si>
    <t>بازگير احمد</t>
  </si>
  <si>
    <t>بازگيري امين</t>
  </si>
  <si>
    <t>بخت آور ليدا</t>
  </si>
  <si>
    <t>بساک معصومه</t>
  </si>
  <si>
    <t>بهاروند اعظم</t>
  </si>
  <si>
    <t>بهداروندي غلامرضا</t>
  </si>
  <si>
    <t>بي باک پروا</t>
  </si>
  <si>
    <t>بيک بک بهرام</t>
  </si>
  <si>
    <t>پاپي ايمان</t>
  </si>
  <si>
    <t>پاپي سحر</t>
  </si>
  <si>
    <t>پورمهدي غلامحسين</t>
  </si>
  <si>
    <t>تجار قلاوند جواد</t>
  </si>
  <si>
    <t>تختائي جواد</t>
  </si>
  <si>
    <t>جعفري شکوفه</t>
  </si>
  <si>
    <t>جمشيدي نيا ليدا</t>
  </si>
  <si>
    <t>چشمه دارزاده علي</t>
  </si>
  <si>
    <t>حسني فاطمه</t>
  </si>
  <si>
    <t>حميدي فر زهره</t>
  </si>
  <si>
    <t>رادمنش صغري</t>
  </si>
  <si>
    <t>رستمي فرد نادر</t>
  </si>
  <si>
    <t>رضائي عبداله</t>
  </si>
  <si>
    <t>روانستان قدرت اله</t>
  </si>
  <si>
    <t>زرگوش رضا</t>
  </si>
  <si>
    <t>ساکي زاده حبيب  رضا</t>
  </si>
  <si>
    <t>سپهوند رحمت اله</t>
  </si>
  <si>
    <t>سهرابي صميره فرشته</t>
  </si>
  <si>
    <t>شهاوند فرشته</t>
  </si>
  <si>
    <t>صديقي علي</t>
  </si>
  <si>
    <t>طاهرسقا عبدالمجيد</t>
  </si>
  <si>
    <t>غلامزاده فرشاد</t>
  </si>
  <si>
    <t>غلامي سميرا</t>
  </si>
  <si>
    <t>فرج روزشاد کيان</t>
  </si>
  <si>
    <t>فيلوس مهتاب</t>
  </si>
  <si>
    <t>فيليان ناهيد</t>
  </si>
  <si>
    <t>قلاوند فرحناز</t>
  </si>
  <si>
    <t>کرد محسن</t>
  </si>
  <si>
    <t>کيهانپور رعنا</t>
  </si>
  <si>
    <t>لطفي بافنده عليرضا</t>
  </si>
  <si>
    <t>لوفي عبدالمهدي</t>
  </si>
  <si>
    <t>محمد خاني فرد مهدي</t>
  </si>
  <si>
    <t>مهتدي مجتبي</t>
  </si>
  <si>
    <t>مهدي پور شهربانو</t>
  </si>
  <si>
    <t>ميرعالي رضائي مجتبي</t>
  </si>
  <si>
    <t>نافع سيدهادي</t>
  </si>
  <si>
    <t>ايزد نرجس</t>
  </si>
  <si>
    <t>باراني جمشيد</t>
  </si>
  <si>
    <t>رستگاري نسب مسعود</t>
  </si>
  <si>
    <t>شيخي پور مجتبي</t>
  </si>
  <si>
    <t>شيشه گر فاطمه</t>
  </si>
  <si>
    <t>صباغ نژاد بهروز</t>
  </si>
  <si>
    <t>عليزاده حسين</t>
  </si>
  <si>
    <t>کريمي محسن</t>
  </si>
  <si>
    <t>محمدي پرستو</t>
  </si>
  <si>
    <t>نصيري مجد مريم</t>
  </si>
  <si>
    <t>نوشادي امين</t>
  </si>
  <si>
    <t>نيسي مجيد</t>
  </si>
  <si>
    <t>دشت آزادگان</t>
  </si>
  <si>
    <t>آبافت زهرا</t>
  </si>
  <si>
    <t>جلالي فاطمه</t>
  </si>
  <si>
    <t>جلالي قاسم</t>
  </si>
  <si>
    <t>جلالي محمد</t>
  </si>
  <si>
    <t>جلالي محمدحسين</t>
  </si>
  <si>
    <t>چلداوي علي</t>
  </si>
  <si>
    <t>حسوني زاده شهاب</t>
  </si>
  <si>
    <t>ديناروندي سعيد</t>
  </si>
  <si>
    <t>رحماني سيد عيسي</t>
  </si>
  <si>
    <t>طرفي ضغيرزاده محمد</t>
  </si>
  <si>
    <t>طعيمه پور عبدالزهرا</t>
  </si>
  <si>
    <t>موسوي بتول</t>
  </si>
  <si>
    <t>وشاحي کريم</t>
  </si>
  <si>
    <t>يلالي محمد</t>
  </si>
  <si>
    <t>يونسي اسماعيل</t>
  </si>
  <si>
    <t>آدگار صالحي زينب</t>
  </si>
  <si>
    <t>بهادري اسماعيل</t>
  </si>
  <si>
    <t>چيت سازان محمدرضا</t>
  </si>
  <si>
    <t>حسنوند سارا</t>
  </si>
  <si>
    <t>خدادادي امين</t>
  </si>
  <si>
    <t>خرمي سارا</t>
  </si>
  <si>
    <t>دارابي مهدي</t>
  </si>
  <si>
    <t>زارع محمد</t>
  </si>
  <si>
    <t>سعيدي محمود</t>
  </si>
  <si>
    <t>سلاحورزي نرجس</t>
  </si>
  <si>
    <t>سواري سالم</t>
  </si>
  <si>
    <t>شهروئي مهران</t>
  </si>
  <si>
    <t>صفي خاني فاطمه</t>
  </si>
  <si>
    <t>صفي زاده حيدر</t>
  </si>
  <si>
    <t>طرفي محمد</t>
  </si>
  <si>
    <t>عباسيان مهدي</t>
  </si>
  <si>
    <t>عزيزي فرزانه</t>
  </si>
  <si>
    <t>غيلان پور مريم</t>
  </si>
  <si>
    <t>قنبري رمضان</t>
  </si>
  <si>
    <t>کرد انوشيروان</t>
  </si>
  <si>
    <t>کلانترهرمزي محمدرضا</t>
  </si>
  <si>
    <t>کياني ده کياني طهمورث</t>
  </si>
  <si>
    <t>محمدي پور سميه</t>
  </si>
  <si>
    <t>مريدزاده حسين</t>
  </si>
  <si>
    <t>موسوي سيد مرتضي</t>
  </si>
  <si>
    <t>هواشمي رضائي پور کريم</t>
  </si>
  <si>
    <t>آغاجاری</t>
  </si>
  <si>
    <t>آذرپور امين</t>
  </si>
  <si>
    <t>باقري جعفر</t>
  </si>
  <si>
    <t>بهمئي حميد</t>
  </si>
  <si>
    <t>پرواز سيد مجيد</t>
  </si>
  <si>
    <t>شيرعلي آرش</t>
  </si>
  <si>
    <t>صفائي اصل بهرام</t>
  </si>
  <si>
    <t>صفائي اصل علي</t>
  </si>
  <si>
    <t>طيب اصغر</t>
  </si>
  <si>
    <t>عزتي احسان</t>
  </si>
  <si>
    <t>مجيدي ده مراد کمال</t>
  </si>
  <si>
    <t>مرتضوي مهر سيدعلي</t>
  </si>
  <si>
    <t>آبادان</t>
  </si>
  <si>
    <t>آذرسادستگرد علي</t>
  </si>
  <si>
    <t>باشي اميد</t>
  </si>
  <si>
    <t>بايماني رضا</t>
  </si>
  <si>
    <t>برهاني شاهرخ</t>
  </si>
  <si>
    <t>برياني محمدحسين</t>
  </si>
  <si>
    <t>پيرزادي حبيبه</t>
  </si>
  <si>
    <t>جاودان نژاد سيده زهرا</t>
  </si>
  <si>
    <t>جوکار ثريا</t>
  </si>
  <si>
    <t>چهرازي مرداني بهنام</t>
  </si>
  <si>
    <t>حرداني جاسم</t>
  </si>
  <si>
    <t>حلفي سليمي مهدي</t>
  </si>
  <si>
    <t>حيات داودي سعيد</t>
  </si>
  <si>
    <t>حيدرنژاد وحيد</t>
  </si>
  <si>
    <t>خردمند عباس</t>
  </si>
  <si>
    <t>خوردام زاده ناصري آرزو</t>
  </si>
  <si>
    <t>دريس ايران</t>
  </si>
  <si>
    <t>دريس جرفي سهام</t>
  </si>
  <si>
    <t>دريس فلاحيه ياسمين</t>
  </si>
  <si>
    <t>دريس فواد</t>
  </si>
  <si>
    <t>دشتيان حيدرزاده بهمن</t>
  </si>
  <si>
    <t>دهنوي زهرا</t>
  </si>
  <si>
    <t>رام نژاد زهره</t>
  </si>
  <si>
    <t>رضائي علي</t>
  </si>
  <si>
    <t>سالم پور رضا</t>
  </si>
  <si>
    <t>سلامي محمد</t>
  </si>
  <si>
    <t>سلطاني آرش</t>
  </si>
  <si>
    <t>شجاعي عذرا</t>
  </si>
  <si>
    <t>شرفي پور محمدرضا</t>
  </si>
  <si>
    <t>صالحي فاطمه</t>
  </si>
  <si>
    <t>عابديني محمود</t>
  </si>
  <si>
    <t>عارف زاده حسن</t>
  </si>
  <si>
    <t>عبداله نژاد باقر</t>
  </si>
  <si>
    <t>عذاريان کريم</t>
  </si>
  <si>
    <t>عسگري فروشاني محسن</t>
  </si>
  <si>
    <t>عظيمي زهرا</t>
  </si>
  <si>
    <t>علاقي زينب</t>
  </si>
  <si>
    <t>علي زاده شيرين</t>
  </si>
  <si>
    <t>علي نژاد جزيره عباس</t>
  </si>
  <si>
    <t>فرازمند فرشاد</t>
  </si>
  <si>
    <t>فرهاني محمدرضا</t>
  </si>
  <si>
    <t>فرهمندنيا بيژن</t>
  </si>
  <si>
    <t>قاسمي گشوئيه راضيه</t>
  </si>
  <si>
    <t>قرابتي سيده زهراء</t>
  </si>
  <si>
    <t>کشاورزميرزامحمدي مهري</t>
  </si>
  <si>
    <t>کعب عمير حافظ</t>
  </si>
  <si>
    <t>لفته ئي هادي</t>
  </si>
  <si>
    <t>محمد نژاديان مرتضي</t>
  </si>
  <si>
    <t>مزرعه مهدي</t>
  </si>
  <si>
    <t>مطروح فاطمه</t>
  </si>
  <si>
    <t>مطوري نسيمه</t>
  </si>
  <si>
    <t>مقدم نيا کفايت</t>
  </si>
  <si>
    <t>ملکي بتول</t>
  </si>
  <si>
    <t>منگري علي</t>
  </si>
  <si>
    <t>مهجور امير</t>
  </si>
  <si>
    <t>مهجور حسن</t>
  </si>
  <si>
    <t>مهدوي نسب اميره</t>
  </si>
  <si>
    <t>ميرزاوند نرگس</t>
  </si>
  <si>
    <t>نجيبي عباس</t>
  </si>
  <si>
    <t>وادي دريساوي عمران</t>
  </si>
  <si>
    <t>آرامش محمد</t>
  </si>
  <si>
    <t>بازي هديه</t>
  </si>
  <si>
    <t>پناهي عبدالرزاق</t>
  </si>
  <si>
    <t>حسام آبادي کريم</t>
  </si>
  <si>
    <t>خلفي علي</t>
  </si>
  <si>
    <t>داودي راد مهسا</t>
  </si>
  <si>
    <t>رستمي بابادي سجاد</t>
  </si>
  <si>
    <t>سلطاني حويزه عباس</t>
  </si>
  <si>
    <t>سويدان عليرضا</t>
  </si>
  <si>
    <t>شاکر زاده آمنه</t>
  </si>
  <si>
    <t>شايسته هادي</t>
  </si>
  <si>
    <t>شريفي مريم</t>
  </si>
  <si>
    <t>طرفي منشدي ندا</t>
  </si>
  <si>
    <t>قارنگ کمال</t>
  </si>
  <si>
    <t>قاطبي رضا</t>
  </si>
  <si>
    <t>مهدي پور سارا</t>
  </si>
  <si>
    <t>نصيريان لعيا</t>
  </si>
  <si>
    <t>بابادي مهسا</t>
  </si>
  <si>
    <t>بافکار فرشته</t>
  </si>
  <si>
    <t>برون امير</t>
  </si>
  <si>
    <t>بلداجي مجتبي</t>
  </si>
  <si>
    <t>رفيعي گندمکاري مهوش</t>
  </si>
  <si>
    <t>کميلي اطهر</t>
  </si>
  <si>
    <t>مرادي محمد</t>
  </si>
  <si>
    <t>موسوي سيدفرج اله</t>
  </si>
  <si>
    <t>موسوي سيده مريم</t>
  </si>
  <si>
    <t>ميرزاده محمد</t>
  </si>
  <si>
    <t>نامي سپيده</t>
  </si>
  <si>
    <t>ياورنژاد روشنک</t>
  </si>
  <si>
    <t>باراني نسيم</t>
  </si>
  <si>
    <t>باوي فرد مهين</t>
  </si>
  <si>
    <t>بزم آرا دنيا</t>
  </si>
  <si>
    <t>بلوغ زاده ساهره</t>
  </si>
  <si>
    <t>بويراحمدي ياسمن</t>
  </si>
  <si>
    <t>جلالي احمد</t>
  </si>
  <si>
    <t>جولي زنگنه حديث</t>
  </si>
  <si>
    <t>حداديان ليلا</t>
  </si>
  <si>
    <t>حسيني ملائي سيده فاطمه</t>
  </si>
  <si>
    <t>خداکرمي مرضيه</t>
  </si>
  <si>
    <t>خسروي دستگردي ماريا</t>
  </si>
  <si>
    <t>شيخ زاده فاطمه</t>
  </si>
  <si>
    <t>عفراوي هدا</t>
  </si>
  <si>
    <t>علي جاني علي جاوند مريم</t>
  </si>
  <si>
    <t>کروشاد عبدالحسن</t>
  </si>
  <si>
    <t>لطيفي شيما</t>
  </si>
  <si>
    <t>مکوندي فاطمه</t>
  </si>
  <si>
    <t>نوري علويچه زينب</t>
  </si>
  <si>
    <t>هفتکل</t>
  </si>
  <si>
    <t>باقري تبار داريوش</t>
  </si>
  <si>
    <t>بيگدليان مريم</t>
  </si>
  <si>
    <t>حسيني سيدحمزه</t>
  </si>
  <si>
    <t>درويشي نسرين</t>
  </si>
  <si>
    <t>صفاران ارغوان</t>
  </si>
  <si>
    <t>غلامي مراد</t>
  </si>
  <si>
    <t>مرادي اسماعيل</t>
  </si>
  <si>
    <t>ممبيني زهرا</t>
  </si>
  <si>
    <t>حقوقی</t>
  </si>
  <si>
    <t>برکت رضائي زهرا</t>
  </si>
  <si>
    <t>بوعذار شرهان</t>
  </si>
  <si>
    <t>حردان علي</t>
  </si>
  <si>
    <t>سلمان دريس قاسم</t>
  </si>
  <si>
    <t>شاولي سجاد</t>
  </si>
  <si>
    <t>کهيش سرور</t>
  </si>
  <si>
    <t>نبهاني فائزه</t>
  </si>
  <si>
    <t>بوحميد خديجه</t>
  </si>
  <si>
    <t>پولادگر علي</t>
  </si>
  <si>
    <t>جوروند احمد</t>
  </si>
  <si>
    <t>چناري امين</t>
  </si>
  <si>
    <t>حاتمي هاشم</t>
  </si>
  <si>
    <t>حمزه ناصر</t>
  </si>
  <si>
    <t>خدادوست محمود</t>
  </si>
  <si>
    <t>خير انديش مسعود</t>
  </si>
  <si>
    <t>ديناروند مينا</t>
  </si>
  <si>
    <t>رکاب ناصر</t>
  </si>
  <si>
    <t>رور منا جاسم</t>
  </si>
  <si>
    <t>شيري مصطفي</t>
  </si>
  <si>
    <t>طاهري سينا</t>
  </si>
  <si>
    <t>عبدالخاني عيدي</t>
  </si>
  <si>
    <t>عبدالخاني محمد</t>
  </si>
  <si>
    <t>عزيززاده فاطمه</t>
  </si>
  <si>
    <t>علي پورکوتياني غلامرضا</t>
  </si>
  <si>
    <t>فاضلي خديجه</t>
  </si>
  <si>
    <t>کاوندي بيژن</t>
  </si>
  <si>
    <t>محمدي مطلق افشين</t>
  </si>
  <si>
    <t>نصرالهي زهرا</t>
  </si>
  <si>
    <t>نيسي نيا صادق</t>
  </si>
  <si>
    <t>هویزه</t>
  </si>
  <si>
    <t>بوعذار حيات</t>
  </si>
  <si>
    <t>جلالي سليم</t>
  </si>
  <si>
    <t>ساکي رضا</t>
  </si>
  <si>
    <t>بهرامي حموله فرشيد</t>
  </si>
  <si>
    <t>پورمنصوري الهام</t>
  </si>
  <si>
    <t>چناني پور سحر</t>
  </si>
  <si>
    <t>حسيني چمني سيدمجيد</t>
  </si>
  <si>
    <t>حمدي سالمي سکينه</t>
  </si>
  <si>
    <t>رحماني سحر</t>
  </si>
  <si>
    <t>رحماني غلامرضا</t>
  </si>
  <si>
    <t>رمضاني فرد معصومه</t>
  </si>
  <si>
    <t>سرکهکي احمدرضا</t>
  </si>
  <si>
    <t>سياحي هاشم</t>
  </si>
  <si>
    <t>شاکري امير</t>
  </si>
  <si>
    <t>ضغيبي محمدرضا</t>
  </si>
  <si>
    <t>طهماسبي سهراب</t>
  </si>
  <si>
    <t>عباسي علي</t>
  </si>
  <si>
    <t>عمور مجيد</t>
  </si>
  <si>
    <t>کاظميان پور احسان</t>
  </si>
  <si>
    <t>کرم احمد</t>
  </si>
  <si>
    <t>کريمي صديقه</t>
  </si>
  <si>
    <t>لايق حيدر</t>
  </si>
  <si>
    <t>محمدي فرخنده</t>
  </si>
  <si>
    <t>منابي زاده صادق</t>
  </si>
  <si>
    <t>مهديان سلطان ابادي اکرم</t>
  </si>
  <si>
    <t>ياراحمدي کرم رضا</t>
  </si>
  <si>
    <t>روابط عمومی</t>
  </si>
  <si>
    <t>پاپي پور عباس</t>
  </si>
  <si>
    <t>خوش نيام زينب</t>
  </si>
  <si>
    <t>ديناروندي عبدالرحمن</t>
  </si>
  <si>
    <t>زنگنه پارسا محمد</t>
  </si>
  <si>
    <t>شمس نسيم</t>
  </si>
  <si>
    <t>صفاران مهدي</t>
  </si>
  <si>
    <t>عباسي لرکي اعظم</t>
  </si>
  <si>
    <t>پويش اکبر</t>
  </si>
  <si>
    <t>خورشيدي راضيه</t>
  </si>
  <si>
    <t>فاضلي نادره</t>
  </si>
  <si>
    <t>کبيري ساماني مهران</t>
  </si>
  <si>
    <t>محبي عليرضا</t>
  </si>
  <si>
    <t>مصطفي پورسمندي مهين</t>
  </si>
  <si>
    <t>موسوي سيدحمزه</t>
  </si>
  <si>
    <t>موسوي متين سيدخيراله</t>
  </si>
  <si>
    <t>ناظرزاده بهرام</t>
  </si>
  <si>
    <t>نوائي محمدرضا</t>
  </si>
  <si>
    <t>ولي زاده مسعود</t>
  </si>
  <si>
    <t>لالی</t>
  </si>
  <si>
    <t>جمالپور حميد</t>
  </si>
  <si>
    <t>رحيمي اصل يوسف</t>
  </si>
  <si>
    <t>رحيمي زاده ايمان</t>
  </si>
  <si>
    <t>يوسفي بابادي محمدرضا</t>
  </si>
  <si>
    <t>درآمد</t>
  </si>
  <si>
    <t>چراغي سحر</t>
  </si>
  <si>
    <t>ذوالفقاري ميترا</t>
  </si>
  <si>
    <t>شيرالي فرزانه</t>
  </si>
  <si>
    <t>عفري علي</t>
  </si>
  <si>
    <t>کاظمي زاده نجفي هدي</t>
  </si>
  <si>
    <t>گودرزي شيدا</t>
  </si>
  <si>
    <t>رامشیر</t>
  </si>
  <si>
    <t>حميد حميد</t>
  </si>
  <si>
    <t>خالدي حسين</t>
  </si>
  <si>
    <t>زهيري محمود</t>
  </si>
  <si>
    <t>شريفي فرحان</t>
  </si>
  <si>
    <t>شريفي مقدم محمد</t>
  </si>
  <si>
    <t>شولي پور محمد</t>
  </si>
  <si>
    <t>مولوي جراحي سيدصادق</t>
  </si>
  <si>
    <t>آموزش</t>
  </si>
  <si>
    <t>سجادي پور هما</t>
  </si>
  <si>
    <t>شمس جاوي نسرين</t>
  </si>
  <si>
    <t>مکوندي مائده</t>
  </si>
  <si>
    <t>کل مبلغ قابل توزیع اضافه کار</t>
  </si>
  <si>
    <t>کل مبلغ قابل توزیع رفاهی</t>
  </si>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</sst>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b/>
      <sz val="11"/>
      <color theme="1"/>
      <name val="B Titr"/>
      <charset val="178"/>
    </font>
    <font>
      <b/>
      <sz val="11"/>
      <color indexed="8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3" fontId="0" fillId="0" borderId="0" xfId="0" applyNumberFormat="1"/>
    <xf numFmtId="3" fontId="2" fillId="0" borderId="1" xfId="0" applyNumberFormat="1" applyFont="1" applyBorder="1"/>
    <xf numFmtId="3" fontId="3" fillId="0" borderId="1" xfId="0" applyNumberFormat="1" applyFont="1" applyBorder="1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CF3B8-6BEE-4F1D-8F00-D92330BC8241}">
  <dimension ref="A1:K31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9</v>
      </c>
      <c r="B3" s="2">
        <v>100902</v>
      </c>
      <c r="C3" s="2" t="s">
        <v>10</v>
      </c>
      <c r="D3" s="3">
        <v>394724</v>
      </c>
      <c r="E3" s="3">
        <v>69471530</v>
      </c>
      <c r="F3" s="5"/>
      <c r="G3" s="5"/>
      <c r="H3" s="3">
        <f t="shared" ref="H3:H30" si="0">F3*D3</f>
        <v>0</v>
      </c>
      <c r="I3" s="3">
        <f t="shared" ref="I3:I30" si="1">(G3*E3)/100</f>
        <v>0</v>
      </c>
    </row>
    <row r="4" spans="1:11" x14ac:dyDescent="0.2">
      <c r="A4" s="1" t="s">
        <v>9</v>
      </c>
      <c r="B4" s="2">
        <v>100752</v>
      </c>
      <c r="C4" s="2" t="s">
        <v>11</v>
      </c>
      <c r="D4" s="3">
        <v>506268</v>
      </c>
      <c r="E4" s="3">
        <v>89103199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9</v>
      </c>
      <c r="B5" s="2">
        <v>101236</v>
      </c>
      <c r="C5" s="2" t="s">
        <v>12</v>
      </c>
      <c r="D5" s="3">
        <v>397251</v>
      </c>
      <c r="E5" s="3">
        <v>69916253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9</v>
      </c>
      <c r="B6" s="2">
        <v>101197</v>
      </c>
      <c r="C6" s="2" t="s">
        <v>13</v>
      </c>
      <c r="D6" s="3">
        <v>426385</v>
      </c>
      <c r="E6" s="3">
        <v>75043767</v>
      </c>
      <c r="F6" s="5"/>
      <c r="G6" s="5"/>
      <c r="H6" s="3">
        <f t="shared" si="0"/>
        <v>0</v>
      </c>
      <c r="I6" s="6">
        <f t="shared" si="1"/>
        <v>0</v>
      </c>
      <c r="J6" s="7" t="s">
        <v>1246</v>
      </c>
      <c r="K6" s="10">
        <v>1076853700</v>
      </c>
    </row>
    <row r="7" spans="1:11" ht="22.5" x14ac:dyDescent="0.6">
      <c r="A7" s="1" t="s">
        <v>9</v>
      </c>
      <c r="B7" s="2">
        <v>100751</v>
      </c>
      <c r="C7" s="2" t="s">
        <v>14</v>
      </c>
      <c r="D7" s="3">
        <v>504853</v>
      </c>
      <c r="E7" s="3">
        <v>88854170</v>
      </c>
      <c r="F7" s="5"/>
      <c r="G7" s="5"/>
      <c r="H7" s="3">
        <f t="shared" si="0"/>
        <v>0</v>
      </c>
      <c r="I7" s="6">
        <f t="shared" si="1"/>
        <v>0</v>
      </c>
      <c r="J7" s="7" t="s">
        <v>1247</v>
      </c>
      <c r="K7" s="10">
        <v>1226308530</v>
      </c>
    </row>
    <row r="8" spans="1:11" x14ac:dyDescent="0.2">
      <c r="A8" s="1" t="s">
        <v>9</v>
      </c>
      <c r="B8" s="2">
        <v>100309</v>
      </c>
      <c r="C8" s="2" t="s">
        <v>15</v>
      </c>
      <c r="D8" s="3">
        <v>298088</v>
      </c>
      <c r="E8" s="3">
        <v>52463586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9</v>
      </c>
      <c r="B9" s="2">
        <v>101372</v>
      </c>
      <c r="C9" s="2" t="s">
        <v>16</v>
      </c>
      <c r="D9" s="3">
        <v>383931</v>
      </c>
      <c r="E9" s="3">
        <v>67571857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 t="s">
        <v>9</v>
      </c>
      <c r="B10" s="2">
        <v>100885</v>
      </c>
      <c r="C10" s="2" t="s">
        <v>17</v>
      </c>
      <c r="D10" s="3">
        <v>302823</v>
      </c>
      <c r="E10" s="3">
        <v>53296983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 t="s">
        <v>9</v>
      </c>
      <c r="B11" s="2">
        <v>101927</v>
      </c>
      <c r="C11" s="2" t="s">
        <v>18</v>
      </c>
      <c r="D11" s="3">
        <v>244879</v>
      </c>
      <c r="E11" s="3">
        <v>43098825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 t="s">
        <v>9</v>
      </c>
      <c r="B12" s="2">
        <v>100829</v>
      </c>
      <c r="C12" s="2" t="s">
        <v>19</v>
      </c>
      <c r="D12" s="3">
        <v>416557</v>
      </c>
      <c r="E12" s="3">
        <v>73314124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 t="s">
        <v>9</v>
      </c>
      <c r="B13" s="2">
        <v>101965</v>
      </c>
      <c r="C13" s="2" t="s">
        <v>20</v>
      </c>
      <c r="D13" s="3">
        <v>244879</v>
      </c>
      <c r="E13" s="3">
        <v>43098825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 t="s">
        <v>9</v>
      </c>
      <c r="B14" s="2">
        <v>100966</v>
      </c>
      <c r="C14" s="2" t="s">
        <v>21</v>
      </c>
      <c r="D14" s="3">
        <v>348291</v>
      </c>
      <c r="E14" s="3">
        <v>61299326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 t="s">
        <v>9</v>
      </c>
      <c r="B15" s="2">
        <v>101751</v>
      </c>
      <c r="C15" s="2" t="s">
        <v>22</v>
      </c>
      <c r="D15" s="3">
        <v>260272</v>
      </c>
      <c r="E15" s="3">
        <v>45807894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 t="s">
        <v>9</v>
      </c>
      <c r="B16" s="2">
        <v>100558</v>
      </c>
      <c r="C16" s="2" t="s">
        <v>23</v>
      </c>
      <c r="D16" s="3">
        <v>388967</v>
      </c>
      <c r="E16" s="3">
        <v>68458245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 t="s">
        <v>9</v>
      </c>
      <c r="B17" s="2">
        <v>100753</v>
      </c>
      <c r="C17" s="2" t="s">
        <v>24</v>
      </c>
      <c r="D17" s="3">
        <v>437385</v>
      </c>
      <c r="E17" s="3">
        <v>76979898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 t="s">
        <v>9</v>
      </c>
      <c r="B18" s="2">
        <v>101780</v>
      </c>
      <c r="C18" s="2" t="s">
        <v>25</v>
      </c>
      <c r="D18" s="3">
        <v>456237</v>
      </c>
      <c r="E18" s="3">
        <v>71661840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 t="s">
        <v>9</v>
      </c>
      <c r="B19" s="2">
        <v>100493</v>
      </c>
      <c r="C19" s="2" t="s">
        <v>26</v>
      </c>
      <c r="D19" s="3">
        <v>458239</v>
      </c>
      <c r="E19" s="3">
        <v>80650082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 t="s">
        <v>9</v>
      </c>
      <c r="B20" s="2">
        <v>101129</v>
      </c>
      <c r="C20" s="2" t="s">
        <v>27</v>
      </c>
      <c r="D20" s="3">
        <v>392195</v>
      </c>
      <c r="E20" s="3">
        <v>69026486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A21" s="1" t="s">
        <v>9</v>
      </c>
      <c r="B21" s="2">
        <v>100587</v>
      </c>
      <c r="C21" s="2" t="s">
        <v>28</v>
      </c>
      <c r="D21" s="3">
        <v>423768</v>
      </c>
      <c r="E21" s="3">
        <v>74583172</v>
      </c>
      <c r="F21" s="5"/>
      <c r="G21" s="5"/>
      <c r="H21" s="3">
        <f t="shared" si="0"/>
        <v>0</v>
      </c>
      <c r="I21" s="3">
        <f t="shared" si="1"/>
        <v>0</v>
      </c>
    </row>
    <row r="22" spans="1:9" x14ac:dyDescent="0.2">
      <c r="A22" s="1" t="s">
        <v>9</v>
      </c>
      <c r="B22" s="2">
        <v>101026</v>
      </c>
      <c r="C22" s="2" t="s">
        <v>29</v>
      </c>
      <c r="D22" s="3">
        <v>337152</v>
      </c>
      <c r="E22" s="3">
        <v>59338752</v>
      </c>
      <c r="F22" s="5"/>
      <c r="G22" s="5"/>
      <c r="H22" s="3">
        <f t="shared" si="0"/>
        <v>0</v>
      </c>
      <c r="I22" s="3">
        <f t="shared" si="1"/>
        <v>0</v>
      </c>
    </row>
    <row r="23" spans="1:9" x14ac:dyDescent="0.2">
      <c r="A23" s="1" t="s">
        <v>9</v>
      </c>
      <c r="B23" s="2">
        <v>101868</v>
      </c>
      <c r="C23" s="2" t="s">
        <v>30</v>
      </c>
      <c r="D23" s="3">
        <v>218128</v>
      </c>
      <c r="E23" s="3">
        <v>38390550</v>
      </c>
      <c r="F23" s="5"/>
      <c r="G23" s="5"/>
      <c r="H23" s="3">
        <f t="shared" si="0"/>
        <v>0</v>
      </c>
      <c r="I23" s="3">
        <f t="shared" si="1"/>
        <v>0</v>
      </c>
    </row>
    <row r="24" spans="1:9" x14ac:dyDescent="0.2">
      <c r="A24" s="1" t="s">
        <v>9</v>
      </c>
      <c r="B24" s="2">
        <v>100863</v>
      </c>
      <c r="C24" s="2" t="s">
        <v>31</v>
      </c>
      <c r="D24" s="3">
        <v>454152</v>
      </c>
      <c r="E24" s="3">
        <v>79930885</v>
      </c>
      <c r="F24" s="5"/>
      <c r="G24" s="5"/>
      <c r="H24" s="3">
        <f t="shared" si="0"/>
        <v>0</v>
      </c>
      <c r="I24" s="3">
        <f t="shared" si="1"/>
        <v>0</v>
      </c>
    </row>
    <row r="25" spans="1:9" x14ac:dyDescent="0.2">
      <c r="A25" s="1" t="s">
        <v>9</v>
      </c>
      <c r="B25" s="2">
        <v>100563</v>
      </c>
      <c r="C25" s="2" t="s">
        <v>32</v>
      </c>
      <c r="D25" s="3">
        <v>448095</v>
      </c>
      <c r="E25" s="3">
        <v>78864786</v>
      </c>
      <c r="F25" s="5"/>
      <c r="G25" s="5"/>
      <c r="H25" s="3">
        <f t="shared" si="0"/>
        <v>0</v>
      </c>
      <c r="I25" s="3">
        <f t="shared" si="1"/>
        <v>0</v>
      </c>
    </row>
    <row r="26" spans="1:9" x14ac:dyDescent="0.2">
      <c r="A26" s="1" t="s">
        <v>9</v>
      </c>
      <c r="B26" s="2">
        <v>100588</v>
      </c>
      <c r="C26" s="2" t="s">
        <v>33</v>
      </c>
      <c r="D26" s="3">
        <v>442605</v>
      </c>
      <c r="E26" s="3">
        <v>77898521</v>
      </c>
      <c r="F26" s="5"/>
      <c r="G26" s="5"/>
      <c r="H26" s="3">
        <f t="shared" si="0"/>
        <v>0</v>
      </c>
      <c r="I26" s="3">
        <f t="shared" si="1"/>
        <v>0</v>
      </c>
    </row>
    <row r="27" spans="1:9" x14ac:dyDescent="0.2">
      <c r="A27" s="1" t="s">
        <v>9</v>
      </c>
      <c r="B27" s="2">
        <v>100869</v>
      </c>
      <c r="C27" s="2" t="s">
        <v>34</v>
      </c>
      <c r="D27" s="3">
        <v>448736</v>
      </c>
      <c r="E27" s="3">
        <v>78977611</v>
      </c>
      <c r="F27" s="5"/>
      <c r="G27" s="5"/>
      <c r="H27" s="3">
        <f t="shared" si="0"/>
        <v>0</v>
      </c>
      <c r="I27" s="3">
        <f t="shared" si="1"/>
        <v>0</v>
      </c>
    </row>
    <row r="28" spans="1:9" x14ac:dyDescent="0.2">
      <c r="A28" s="1" t="s">
        <v>9</v>
      </c>
      <c r="B28" s="2">
        <v>100333</v>
      </c>
      <c r="C28" s="2" t="s">
        <v>35</v>
      </c>
      <c r="D28" s="3">
        <v>291953</v>
      </c>
      <c r="E28" s="3">
        <v>51383802</v>
      </c>
      <c r="F28" s="5"/>
      <c r="G28" s="5"/>
      <c r="H28" s="3">
        <f t="shared" si="0"/>
        <v>0</v>
      </c>
      <c r="I28" s="3">
        <f t="shared" si="1"/>
        <v>0</v>
      </c>
    </row>
    <row r="29" spans="1:9" x14ac:dyDescent="0.2">
      <c r="A29" s="1" t="s">
        <v>9</v>
      </c>
      <c r="B29" s="2">
        <v>100329</v>
      </c>
      <c r="C29" s="2" t="s">
        <v>36</v>
      </c>
      <c r="D29" s="3">
        <v>427005</v>
      </c>
      <c r="E29" s="3">
        <v>75152994</v>
      </c>
      <c r="F29" s="5"/>
      <c r="G29" s="5"/>
      <c r="H29" s="3">
        <f t="shared" si="0"/>
        <v>0</v>
      </c>
      <c r="I29" s="3">
        <f t="shared" si="1"/>
        <v>0</v>
      </c>
    </row>
    <row r="30" spans="1:9" x14ac:dyDescent="0.2">
      <c r="A30" s="1" t="s">
        <v>9</v>
      </c>
      <c r="B30" s="2">
        <v>101398</v>
      </c>
      <c r="C30" s="2" t="s">
        <v>37</v>
      </c>
      <c r="D30" s="3">
        <v>414719</v>
      </c>
      <c r="E30" s="3">
        <v>72990545</v>
      </c>
      <c r="F30" s="5"/>
      <c r="G30" s="5"/>
      <c r="H30" s="3">
        <f t="shared" si="0"/>
        <v>0</v>
      </c>
      <c r="I30" s="3">
        <f t="shared" si="1"/>
        <v>0</v>
      </c>
    </row>
    <row r="31" spans="1:9" x14ac:dyDescent="0.2">
      <c r="H31" s="9">
        <f t="shared" ref="H31:I31" si="2">SUM(H3:H30)</f>
        <v>0</v>
      </c>
      <c r="I31" s="9">
        <f t="shared" si="2"/>
        <v>0</v>
      </c>
    </row>
  </sheetData>
  <mergeCells count="1">
    <mergeCell ref="A1:I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62DE-3995-411B-A264-9C19BF411F81}">
  <dimension ref="A1:K40"/>
  <sheetViews>
    <sheetView rightToLeft="1" topLeftCell="A4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38</v>
      </c>
      <c r="B3" s="2">
        <v>100725</v>
      </c>
      <c r="C3" s="2" t="s">
        <v>39</v>
      </c>
      <c r="D3" s="3">
        <v>469935</v>
      </c>
      <c r="E3" s="3">
        <v>82708670</v>
      </c>
      <c r="F3" s="5"/>
      <c r="G3" s="5"/>
      <c r="H3" s="3">
        <f t="shared" ref="H3:H39" si="0">F3*D3</f>
        <v>0</v>
      </c>
      <c r="I3" s="3">
        <f t="shared" ref="I3:I39" si="1">(G3*E3)/100</f>
        <v>0</v>
      </c>
    </row>
    <row r="4" spans="1:11" x14ac:dyDescent="0.2">
      <c r="A4" s="1" t="s">
        <v>38</v>
      </c>
      <c r="B4" s="2">
        <v>100461</v>
      </c>
      <c r="C4" s="2" t="s">
        <v>40</v>
      </c>
      <c r="D4" s="3">
        <v>446454</v>
      </c>
      <c r="E4" s="3">
        <v>78575920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38</v>
      </c>
      <c r="B5" s="2">
        <v>100484</v>
      </c>
      <c r="C5" s="2" t="s">
        <v>41</v>
      </c>
      <c r="D5" s="3">
        <v>515825</v>
      </c>
      <c r="E5" s="3">
        <v>90785200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38</v>
      </c>
      <c r="B6" s="2">
        <v>101333</v>
      </c>
      <c r="C6" s="2" t="s">
        <v>42</v>
      </c>
      <c r="D6" s="3">
        <v>354565</v>
      </c>
      <c r="E6" s="3">
        <v>62403488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1554350600</v>
      </c>
    </row>
    <row r="7" spans="1:11" ht="22.5" x14ac:dyDescent="0.6">
      <c r="A7" s="1" t="s">
        <v>38</v>
      </c>
      <c r="B7" s="2">
        <v>101339</v>
      </c>
      <c r="C7" s="2" t="s">
        <v>43</v>
      </c>
      <c r="D7" s="3">
        <v>453582</v>
      </c>
      <c r="E7" s="3">
        <v>79830468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1761338649</v>
      </c>
    </row>
    <row r="8" spans="1:11" x14ac:dyDescent="0.2">
      <c r="A8" s="1" t="s">
        <v>38</v>
      </c>
      <c r="B8" s="2">
        <v>100430</v>
      </c>
      <c r="C8" s="2" t="s">
        <v>44</v>
      </c>
      <c r="D8" s="3">
        <v>544634</v>
      </c>
      <c r="E8" s="3">
        <v>95855650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38</v>
      </c>
      <c r="B9" s="2">
        <v>101084</v>
      </c>
      <c r="C9" s="2" t="s">
        <v>45</v>
      </c>
      <c r="D9" s="3">
        <v>463580</v>
      </c>
      <c r="E9" s="3">
        <v>81590254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 t="s">
        <v>38</v>
      </c>
      <c r="B10" s="2">
        <v>100843</v>
      </c>
      <c r="C10" s="2" t="s">
        <v>46</v>
      </c>
      <c r="D10" s="3">
        <v>469949</v>
      </c>
      <c r="E10" s="3">
        <v>82711109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 t="s">
        <v>38</v>
      </c>
      <c r="B11" s="2">
        <v>101916</v>
      </c>
      <c r="C11" s="2" t="s">
        <v>47</v>
      </c>
      <c r="D11" s="3">
        <v>244879</v>
      </c>
      <c r="E11" s="3">
        <v>43098825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 t="s">
        <v>38</v>
      </c>
      <c r="B12" s="2">
        <v>100723</v>
      </c>
      <c r="C12" s="2" t="s">
        <v>48</v>
      </c>
      <c r="D12" s="3">
        <v>470043</v>
      </c>
      <c r="E12" s="3">
        <v>82727688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 t="s">
        <v>38</v>
      </c>
      <c r="B13" s="2">
        <v>100470</v>
      </c>
      <c r="C13" s="2" t="s">
        <v>49</v>
      </c>
      <c r="D13" s="3">
        <v>504433</v>
      </c>
      <c r="E13" s="3">
        <v>88780327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 t="s">
        <v>38</v>
      </c>
      <c r="B14" s="2">
        <v>100936</v>
      </c>
      <c r="C14" s="2" t="s">
        <v>50</v>
      </c>
      <c r="D14" s="3">
        <v>388947</v>
      </c>
      <c r="E14" s="3">
        <v>68454775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 t="s">
        <v>38</v>
      </c>
      <c r="B15" s="2">
        <v>101166</v>
      </c>
      <c r="C15" s="2" t="s">
        <v>51</v>
      </c>
      <c r="D15" s="3">
        <v>427530</v>
      </c>
      <c r="E15" s="3">
        <v>75245318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 t="s">
        <v>38</v>
      </c>
      <c r="B16" s="2">
        <v>100580</v>
      </c>
      <c r="C16" s="2" t="s">
        <v>52</v>
      </c>
      <c r="D16" s="3">
        <v>490964</v>
      </c>
      <c r="E16" s="3">
        <v>86409694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 t="s">
        <v>38</v>
      </c>
      <c r="B17" s="2">
        <v>100951</v>
      </c>
      <c r="C17" s="2" t="s">
        <v>53</v>
      </c>
      <c r="D17" s="3">
        <v>456237</v>
      </c>
      <c r="E17" s="3">
        <v>71661840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 t="s">
        <v>38</v>
      </c>
      <c r="B18" s="2">
        <v>101208</v>
      </c>
      <c r="C18" s="2" t="s">
        <v>54</v>
      </c>
      <c r="D18" s="3">
        <v>412348</v>
      </c>
      <c r="E18" s="3">
        <v>72573362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 t="s">
        <v>38</v>
      </c>
      <c r="B19" s="2">
        <v>100759</v>
      </c>
      <c r="C19" s="2" t="s">
        <v>55</v>
      </c>
      <c r="D19" s="3">
        <v>436799</v>
      </c>
      <c r="E19" s="3">
        <v>76876708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 t="s">
        <v>38</v>
      </c>
      <c r="B20" s="2">
        <v>101209</v>
      </c>
      <c r="C20" s="2" t="s">
        <v>56</v>
      </c>
      <c r="D20" s="3">
        <v>427514</v>
      </c>
      <c r="E20" s="3">
        <v>75242509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A21" s="1" t="s">
        <v>38</v>
      </c>
      <c r="B21" s="2">
        <v>100537</v>
      </c>
      <c r="C21" s="2" t="s">
        <v>57</v>
      </c>
      <c r="D21" s="3">
        <v>447491</v>
      </c>
      <c r="E21" s="3">
        <v>78758430</v>
      </c>
      <c r="F21" s="5"/>
      <c r="G21" s="5"/>
      <c r="H21" s="3">
        <f t="shared" si="0"/>
        <v>0</v>
      </c>
      <c r="I21" s="3">
        <f t="shared" si="1"/>
        <v>0</v>
      </c>
    </row>
    <row r="22" spans="1:9" x14ac:dyDescent="0.2">
      <c r="A22" s="1" t="s">
        <v>38</v>
      </c>
      <c r="B22" s="2">
        <v>101001</v>
      </c>
      <c r="C22" s="2" t="s">
        <v>58</v>
      </c>
      <c r="D22" s="3">
        <v>304117</v>
      </c>
      <c r="E22" s="3">
        <v>53524636</v>
      </c>
      <c r="F22" s="5"/>
      <c r="G22" s="5"/>
      <c r="H22" s="3">
        <f t="shared" si="0"/>
        <v>0</v>
      </c>
      <c r="I22" s="3">
        <f t="shared" si="1"/>
        <v>0</v>
      </c>
    </row>
    <row r="23" spans="1:9" x14ac:dyDescent="0.2">
      <c r="A23" s="1" t="s">
        <v>38</v>
      </c>
      <c r="B23" s="2">
        <v>100812</v>
      </c>
      <c r="C23" s="2" t="s">
        <v>59</v>
      </c>
      <c r="D23" s="3">
        <v>462106</v>
      </c>
      <c r="E23" s="3">
        <v>81330660</v>
      </c>
      <c r="F23" s="5"/>
      <c r="G23" s="5"/>
      <c r="H23" s="3">
        <f t="shared" si="0"/>
        <v>0</v>
      </c>
      <c r="I23" s="3">
        <f t="shared" si="1"/>
        <v>0</v>
      </c>
    </row>
    <row r="24" spans="1:9" x14ac:dyDescent="0.2">
      <c r="A24" s="1" t="s">
        <v>38</v>
      </c>
      <c r="B24" s="2">
        <v>101407</v>
      </c>
      <c r="C24" s="2" t="s">
        <v>60</v>
      </c>
      <c r="D24" s="3">
        <v>336010</v>
      </c>
      <c r="E24" s="3">
        <v>59137817</v>
      </c>
      <c r="F24" s="5"/>
      <c r="G24" s="5"/>
      <c r="H24" s="3">
        <f t="shared" si="0"/>
        <v>0</v>
      </c>
      <c r="I24" s="3">
        <f t="shared" si="1"/>
        <v>0</v>
      </c>
    </row>
    <row r="25" spans="1:9" x14ac:dyDescent="0.2">
      <c r="A25" s="1" t="s">
        <v>38</v>
      </c>
      <c r="B25" s="2">
        <v>100730</v>
      </c>
      <c r="C25" s="2" t="s">
        <v>61</v>
      </c>
      <c r="D25" s="3">
        <v>472258</v>
      </c>
      <c r="E25" s="3">
        <v>83117426</v>
      </c>
      <c r="F25" s="5"/>
      <c r="G25" s="5"/>
      <c r="H25" s="3">
        <f t="shared" si="0"/>
        <v>0</v>
      </c>
      <c r="I25" s="3">
        <f t="shared" si="1"/>
        <v>0</v>
      </c>
    </row>
    <row r="26" spans="1:9" x14ac:dyDescent="0.2">
      <c r="A26" s="1" t="s">
        <v>38</v>
      </c>
      <c r="B26" s="2">
        <v>101022</v>
      </c>
      <c r="C26" s="2" t="s">
        <v>62</v>
      </c>
      <c r="D26" s="3">
        <v>278904</v>
      </c>
      <c r="E26" s="3">
        <v>49087126</v>
      </c>
      <c r="F26" s="5"/>
      <c r="G26" s="5"/>
      <c r="H26" s="3">
        <f t="shared" si="0"/>
        <v>0</v>
      </c>
      <c r="I26" s="3">
        <f t="shared" si="1"/>
        <v>0</v>
      </c>
    </row>
    <row r="27" spans="1:9" x14ac:dyDescent="0.2">
      <c r="A27" s="1" t="s">
        <v>38</v>
      </c>
      <c r="B27" s="2">
        <v>100354</v>
      </c>
      <c r="C27" s="2" t="s">
        <v>63</v>
      </c>
      <c r="D27" s="3">
        <v>328303</v>
      </c>
      <c r="E27" s="3">
        <v>57781346</v>
      </c>
      <c r="F27" s="5"/>
      <c r="G27" s="5"/>
      <c r="H27" s="3">
        <f t="shared" si="0"/>
        <v>0</v>
      </c>
      <c r="I27" s="3">
        <f t="shared" si="1"/>
        <v>0</v>
      </c>
    </row>
    <row r="28" spans="1:9" x14ac:dyDescent="0.2">
      <c r="A28" s="1" t="s">
        <v>38</v>
      </c>
      <c r="B28" s="2">
        <v>101029</v>
      </c>
      <c r="C28" s="2" t="s">
        <v>64</v>
      </c>
      <c r="D28" s="3">
        <v>342448</v>
      </c>
      <c r="E28" s="3">
        <v>60270851</v>
      </c>
      <c r="F28" s="5"/>
      <c r="G28" s="5"/>
      <c r="H28" s="3">
        <f t="shared" si="0"/>
        <v>0</v>
      </c>
      <c r="I28" s="3">
        <f t="shared" si="1"/>
        <v>0</v>
      </c>
    </row>
    <row r="29" spans="1:9" x14ac:dyDescent="0.2">
      <c r="A29" s="1" t="s">
        <v>38</v>
      </c>
      <c r="B29" s="2">
        <v>100683</v>
      </c>
      <c r="C29" s="2" t="s">
        <v>65</v>
      </c>
      <c r="D29" s="3">
        <v>469714</v>
      </c>
      <c r="E29" s="3">
        <v>82669835</v>
      </c>
      <c r="F29" s="5"/>
      <c r="G29" s="5"/>
      <c r="H29" s="3">
        <f t="shared" si="0"/>
        <v>0</v>
      </c>
      <c r="I29" s="3">
        <f t="shared" si="1"/>
        <v>0</v>
      </c>
    </row>
    <row r="30" spans="1:9" x14ac:dyDescent="0.2">
      <c r="A30" s="1" t="s">
        <v>38</v>
      </c>
      <c r="B30" s="2">
        <v>100677</v>
      </c>
      <c r="C30" s="2" t="s">
        <v>66</v>
      </c>
      <c r="D30" s="3">
        <v>471088</v>
      </c>
      <c r="E30" s="3">
        <v>82911524</v>
      </c>
      <c r="F30" s="5"/>
      <c r="G30" s="5"/>
      <c r="H30" s="3">
        <f t="shared" si="0"/>
        <v>0</v>
      </c>
      <c r="I30" s="3">
        <f t="shared" si="1"/>
        <v>0</v>
      </c>
    </row>
    <row r="31" spans="1:9" x14ac:dyDescent="0.2">
      <c r="A31" s="1" t="s">
        <v>38</v>
      </c>
      <c r="B31" s="2">
        <v>101325</v>
      </c>
      <c r="C31" s="2" t="s">
        <v>67</v>
      </c>
      <c r="D31" s="3">
        <v>382629</v>
      </c>
      <c r="E31" s="3">
        <v>67342874</v>
      </c>
      <c r="F31" s="5"/>
      <c r="G31" s="5"/>
      <c r="H31" s="3">
        <f t="shared" si="0"/>
        <v>0</v>
      </c>
      <c r="I31" s="3">
        <f t="shared" si="1"/>
        <v>0</v>
      </c>
    </row>
    <row r="32" spans="1:9" x14ac:dyDescent="0.2">
      <c r="A32" s="1" t="s">
        <v>38</v>
      </c>
      <c r="B32" s="2">
        <v>101356</v>
      </c>
      <c r="C32" s="2" t="s">
        <v>68</v>
      </c>
      <c r="D32" s="3">
        <v>426927</v>
      </c>
      <c r="E32" s="3">
        <v>75139237</v>
      </c>
      <c r="F32" s="5"/>
      <c r="G32" s="5"/>
      <c r="H32" s="3">
        <f t="shared" si="0"/>
        <v>0</v>
      </c>
      <c r="I32" s="3">
        <f t="shared" si="1"/>
        <v>0</v>
      </c>
    </row>
    <row r="33" spans="1:9" x14ac:dyDescent="0.2">
      <c r="A33" s="1" t="s">
        <v>38</v>
      </c>
      <c r="B33" s="2">
        <v>101281</v>
      </c>
      <c r="C33" s="2" t="s">
        <v>69</v>
      </c>
      <c r="D33" s="3">
        <v>426098</v>
      </c>
      <c r="E33" s="3">
        <v>74993421</v>
      </c>
      <c r="F33" s="5"/>
      <c r="G33" s="5"/>
      <c r="H33" s="3">
        <f t="shared" si="0"/>
        <v>0</v>
      </c>
      <c r="I33" s="3">
        <f t="shared" si="1"/>
        <v>0</v>
      </c>
    </row>
    <row r="34" spans="1:9" x14ac:dyDescent="0.2">
      <c r="A34" s="1" t="s">
        <v>38</v>
      </c>
      <c r="B34" s="2">
        <v>101040</v>
      </c>
      <c r="C34" s="2" t="s">
        <v>70</v>
      </c>
      <c r="D34" s="3">
        <v>456237</v>
      </c>
      <c r="E34" s="3">
        <v>71661840</v>
      </c>
      <c r="F34" s="5"/>
      <c r="G34" s="5"/>
      <c r="H34" s="3">
        <f t="shared" si="0"/>
        <v>0</v>
      </c>
      <c r="I34" s="3">
        <f t="shared" si="1"/>
        <v>0</v>
      </c>
    </row>
    <row r="35" spans="1:9" x14ac:dyDescent="0.2">
      <c r="A35" s="1" t="s">
        <v>38</v>
      </c>
      <c r="B35" s="2">
        <v>101039</v>
      </c>
      <c r="C35" s="2" t="s">
        <v>71</v>
      </c>
      <c r="D35" s="3">
        <v>456237</v>
      </c>
      <c r="E35" s="3">
        <v>71661840</v>
      </c>
      <c r="F35" s="5"/>
      <c r="G35" s="5"/>
      <c r="H35" s="3">
        <f t="shared" si="0"/>
        <v>0</v>
      </c>
      <c r="I35" s="3">
        <f t="shared" si="1"/>
        <v>0</v>
      </c>
    </row>
    <row r="36" spans="1:9" x14ac:dyDescent="0.2">
      <c r="A36" s="1" t="s">
        <v>38</v>
      </c>
      <c r="B36" s="2">
        <v>100523</v>
      </c>
      <c r="C36" s="2" t="s">
        <v>72</v>
      </c>
      <c r="D36" s="3">
        <v>467672</v>
      </c>
      <c r="E36" s="3">
        <v>82310305</v>
      </c>
      <c r="F36" s="5"/>
      <c r="G36" s="5"/>
      <c r="H36" s="3">
        <f t="shared" si="0"/>
        <v>0</v>
      </c>
      <c r="I36" s="3">
        <f t="shared" si="1"/>
        <v>0</v>
      </c>
    </row>
    <row r="37" spans="1:9" x14ac:dyDescent="0.2">
      <c r="A37" s="1" t="s">
        <v>38</v>
      </c>
      <c r="B37" s="2">
        <v>101797</v>
      </c>
      <c r="C37" s="2" t="s">
        <v>73</v>
      </c>
      <c r="D37" s="3">
        <v>226963</v>
      </c>
      <c r="E37" s="3">
        <v>39945488</v>
      </c>
      <c r="F37" s="5"/>
      <c r="G37" s="5"/>
      <c r="H37" s="3">
        <f t="shared" si="0"/>
        <v>0</v>
      </c>
      <c r="I37" s="3">
        <f t="shared" si="1"/>
        <v>0</v>
      </c>
    </row>
    <row r="38" spans="1:9" x14ac:dyDescent="0.2">
      <c r="A38" s="1" t="s">
        <v>38</v>
      </c>
      <c r="B38" s="2">
        <v>100804</v>
      </c>
      <c r="C38" s="2" t="s">
        <v>74</v>
      </c>
      <c r="D38" s="3">
        <v>455157</v>
      </c>
      <c r="E38" s="3">
        <v>80107702</v>
      </c>
      <c r="F38" s="5"/>
      <c r="G38" s="5"/>
      <c r="H38" s="3">
        <f t="shared" si="0"/>
        <v>0</v>
      </c>
      <c r="I38" s="3">
        <f t="shared" si="1"/>
        <v>0</v>
      </c>
    </row>
    <row r="39" spans="1:9" x14ac:dyDescent="0.2">
      <c r="A39" s="1" t="s">
        <v>38</v>
      </c>
      <c r="B39" s="2">
        <v>101476</v>
      </c>
      <c r="C39" s="2" t="s">
        <v>75</v>
      </c>
      <c r="D39" s="3">
        <v>354929</v>
      </c>
      <c r="E39" s="3">
        <v>62467604</v>
      </c>
      <c r="F39" s="5"/>
      <c r="G39" s="5"/>
      <c r="H39" s="3">
        <f t="shared" si="0"/>
        <v>0</v>
      </c>
      <c r="I39" s="3">
        <f t="shared" si="1"/>
        <v>0</v>
      </c>
    </row>
    <row r="40" spans="1:9" x14ac:dyDescent="0.2">
      <c r="H40" s="9">
        <f t="shared" ref="H40:I40" si="2">SUM(H3:H39)</f>
        <v>0</v>
      </c>
      <c r="I40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21EB3-BA42-4E89-906E-FEB1CA874A85}">
  <dimension ref="A1:K31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>
        <v>1610</v>
      </c>
      <c r="B3" s="2">
        <v>100356</v>
      </c>
      <c r="C3" s="2" t="s">
        <v>76</v>
      </c>
      <c r="D3" s="3">
        <v>454963</v>
      </c>
      <c r="E3" s="3">
        <v>80073545</v>
      </c>
      <c r="F3" s="5"/>
      <c r="G3" s="5"/>
      <c r="H3" s="3">
        <f t="shared" ref="H3:H30" si="0">F3*D3</f>
        <v>0</v>
      </c>
      <c r="I3" s="3">
        <f t="shared" ref="I3:I30" si="1">(G3*E3)/100</f>
        <v>0</v>
      </c>
    </row>
    <row r="4" spans="1:11" x14ac:dyDescent="0.2">
      <c r="A4" s="1">
        <v>1610</v>
      </c>
      <c r="B4" s="2">
        <v>100741</v>
      </c>
      <c r="C4" s="2" t="s">
        <v>77</v>
      </c>
      <c r="D4" s="3">
        <v>515253</v>
      </c>
      <c r="E4" s="3">
        <v>90684600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>
        <v>1610</v>
      </c>
      <c r="B5" s="2">
        <v>100458</v>
      </c>
      <c r="C5" s="2" t="s">
        <v>78</v>
      </c>
      <c r="D5" s="3">
        <v>511712</v>
      </c>
      <c r="E5" s="3">
        <v>90061387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>
        <v>1610</v>
      </c>
      <c r="B6" s="2">
        <v>101397</v>
      </c>
      <c r="C6" s="2" t="s">
        <v>79</v>
      </c>
      <c r="D6" s="3">
        <v>407683</v>
      </c>
      <c r="E6" s="3">
        <v>71752301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1073540090</v>
      </c>
    </row>
    <row r="7" spans="1:11" ht="22.5" x14ac:dyDescent="0.6">
      <c r="A7" s="1">
        <v>1610</v>
      </c>
      <c r="B7" s="2">
        <v>100913</v>
      </c>
      <c r="C7" s="2" t="s">
        <v>80</v>
      </c>
      <c r="D7" s="3">
        <v>483116</v>
      </c>
      <c r="E7" s="3">
        <v>85028479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1287156406</v>
      </c>
    </row>
    <row r="8" spans="1:11" x14ac:dyDescent="0.2">
      <c r="A8" s="1">
        <v>1610</v>
      </c>
      <c r="B8" s="2">
        <v>101767</v>
      </c>
      <c r="C8" s="2" t="s">
        <v>81</v>
      </c>
      <c r="D8" s="3">
        <v>334929</v>
      </c>
      <c r="E8" s="3">
        <v>58947603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>
        <v>1610</v>
      </c>
      <c r="B9" s="2">
        <v>100938</v>
      </c>
      <c r="C9" s="2" t="s">
        <v>82</v>
      </c>
      <c r="D9" s="3">
        <v>319482</v>
      </c>
      <c r="E9" s="3">
        <v>56228876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>
        <v>1610</v>
      </c>
      <c r="B10" s="2">
        <v>100488</v>
      </c>
      <c r="C10" s="2" t="s">
        <v>83</v>
      </c>
      <c r="D10" s="3">
        <v>552865</v>
      </c>
      <c r="E10" s="3">
        <v>97304350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>
        <v>1610</v>
      </c>
      <c r="B11" s="2">
        <v>101920</v>
      </c>
      <c r="C11" s="2" t="s">
        <v>84</v>
      </c>
      <c r="D11" s="3">
        <v>226359</v>
      </c>
      <c r="E11" s="3">
        <v>39839250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>
        <v>1610</v>
      </c>
      <c r="B12" s="2">
        <v>101871</v>
      </c>
      <c r="C12" s="2" t="s">
        <v>85</v>
      </c>
      <c r="D12" s="3">
        <v>255168</v>
      </c>
      <c r="E12" s="3">
        <v>44909700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>
        <v>1610</v>
      </c>
      <c r="B13" s="2">
        <v>100876</v>
      </c>
      <c r="C13" s="2" t="s">
        <v>86</v>
      </c>
      <c r="D13" s="3">
        <v>415857</v>
      </c>
      <c r="E13" s="3">
        <v>73190950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>
        <v>1610</v>
      </c>
      <c r="B14" s="2">
        <v>101224</v>
      </c>
      <c r="C14" s="2" t="s">
        <v>87</v>
      </c>
      <c r="D14" s="3">
        <v>443416</v>
      </c>
      <c r="E14" s="3">
        <v>78041309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>
        <v>1610</v>
      </c>
      <c r="B15" s="2">
        <v>101401</v>
      </c>
      <c r="C15" s="2" t="s">
        <v>88</v>
      </c>
      <c r="D15" s="3">
        <v>401280</v>
      </c>
      <c r="E15" s="3">
        <v>70625363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>
        <v>1610</v>
      </c>
      <c r="B16" s="2">
        <v>101156</v>
      </c>
      <c r="C16" s="2" t="s">
        <v>89</v>
      </c>
      <c r="D16" s="3">
        <v>441429</v>
      </c>
      <c r="E16" s="3">
        <v>77691637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>
        <v>1610</v>
      </c>
      <c r="B17" s="2">
        <v>101878</v>
      </c>
      <c r="C17" s="2" t="s">
        <v>90</v>
      </c>
      <c r="D17" s="3">
        <v>226359</v>
      </c>
      <c r="E17" s="3">
        <v>39839250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>
        <v>1610</v>
      </c>
      <c r="B18" s="2">
        <v>101389</v>
      </c>
      <c r="C18" s="2" t="s">
        <v>91</v>
      </c>
      <c r="D18" s="3">
        <v>442667</v>
      </c>
      <c r="E18" s="3">
        <v>77909551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>
        <v>1610</v>
      </c>
      <c r="B19" s="2">
        <v>101452</v>
      </c>
      <c r="C19" s="2" t="s">
        <v>92</v>
      </c>
      <c r="D19" s="3">
        <v>397574</v>
      </c>
      <c r="E19" s="3">
        <v>69973065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>
        <v>1610</v>
      </c>
      <c r="B20" s="2">
        <v>101442</v>
      </c>
      <c r="C20" s="2" t="s">
        <v>93</v>
      </c>
      <c r="D20" s="3">
        <v>428447</v>
      </c>
      <c r="E20" s="3">
        <v>75406826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A21" s="1">
        <v>1610</v>
      </c>
      <c r="B21" s="2">
        <v>100569</v>
      </c>
      <c r="C21" s="2" t="s">
        <v>94</v>
      </c>
      <c r="D21" s="3">
        <v>499628</v>
      </c>
      <c r="E21" s="3">
        <v>87934594</v>
      </c>
      <c r="F21" s="5"/>
      <c r="G21" s="5"/>
      <c r="H21" s="3">
        <f t="shared" si="0"/>
        <v>0</v>
      </c>
      <c r="I21" s="3">
        <f t="shared" si="1"/>
        <v>0</v>
      </c>
    </row>
    <row r="22" spans="1:9" x14ac:dyDescent="0.2">
      <c r="A22" s="1">
        <v>1610</v>
      </c>
      <c r="B22" s="2">
        <v>101729</v>
      </c>
      <c r="C22" s="2" t="s">
        <v>95</v>
      </c>
      <c r="D22" s="3">
        <v>423531</v>
      </c>
      <c r="E22" s="3">
        <v>74541538</v>
      </c>
      <c r="F22" s="5"/>
      <c r="G22" s="5"/>
      <c r="H22" s="3">
        <f t="shared" si="0"/>
        <v>0</v>
      </c>
      <c r="I22" s="3">
        <f t="shared" si="1"/>
        <v>0</v>
      </c>
    </row>
    <row r="23" spans="1:9" x14ac:dyDescent="0.2">
      <c r="A23" s="1">
        <v>1610</v>
      </c>
      <c r="B23" s="2">
        <v>101781</v>
      </c>
      <c r="C23" s="2" t="s">
        <v>96</v>
      </c>
      <c r="D23" s="3">
        <v>264360</v>
      </c>
      <c r="E23" s="3">
        <v>46527415</v>
      </c>
      <c r="F23" s="5"/>
      <c r="G23" s="5"/>
      <c r="H23" s="3">
        <f t="shared" si="0"/>
        <v>0</v>
      </c>
      <c r="I23" s="3">
        <f t="shared" si="1"/>
        <v>0</v>
      </c>
    </row>
    <row r="24" spans="1:9" x14ac:dyDescent="0.2">
      <c r="A24" s="1">
        <v>1610</v>
      </c>
      <c r="B24" s="2">
        <v>101789</v>
      </c>
      <c r="C24" s="2" t="s">
        <v>97</v>
      </c>
      <c r="D24" s="3">
        <v>234426</v>
      </c>
      <c r="E24" s="3">
        <v>41258976</v>
      </c>
      <c r="F24" s="5"/>
      <c r="G24" s="5"/>
      <c r="H24" s="3">
        <f t="shared" si="0"/>
        <v>0</v>
      </c>
      <c r="I24" s="3">
        <f t="shared" si="1"/>
        <v>0</v>
      </c>
    </row>
    <row r="25" spans="1:9" x14ac:dyDescent="0.2">
      <c r="A25" s="1">
        <v>1610</v>
      </c>
      <c r="B25" s="2">
        <v>100551</v>
      </c>
      <c r="C25" s="2" t="s">
        <v>98</v>
      </c>
      <c r="D25" s="3">
        <v>465782</v>
      </c>
      <c r="E25" s="3">
        <v>81977664</v>
      </c>
      <c r="F25" s="5"/>
      <c r="G25" s="5"/>
      <c r="H25" s="3">
        <f t="shared" si="0"/>
        <v>0</v>
      </c>
      <c r="I25" s="3">
        <f t="shared" si="1"/>
        <v>0</v>
      </c>
    </row>
    <row r="26" spans="1:9" x14ac:dyDescent="0.2">
      <c r="A26" s="1">
        <v>1610</v>
      </c>
      <c r="B26" s="2">
        <v>101057</v>
      </c>
      <c r="C26" s="2" t="s">
        <v>99</v>
      </c>
      <c r="D26" s="3">
        <v>456237</v>
      </c>
      <c r="E26" s="3">
        <v>71661840</v>
      </c>
      <c r="F26" s="5"/>
      <c r="G26" s="5"/>
      <c r="H26" s="3">
        <f t="shared" si="0"/>
        <v>0</v>
      </c>
      <c r="I26" s="3">
        <f t="shared" si="1"/>
        <v>0</v>
      </c>
    </row>
    <row r="27" spans="1:9" x14ac:dyDescent="0.2">
      <c r="A27" s="1">
        <v>1610</v>
      </c>
      <c r="B27" s="2">
        <v>101059</v>
      </c>
      <c r="C27" s="2" t="s">
        <v>100</v>
      </c>
      <c r="D27" s="3">
        <v>455940</v>
      </c>
      <c r="E27" s="3">
        <v>80245448</v>
      </c>
      <c r="F27" s="5"/>
      <c r="G27" s="5"/>
      <c r="H27" s="3">
        <f t="shared" si="0"/>
        <v>0</v>
      </c>
      <c r="I27" s="3">
        <f t="shared" si="1"/>
        <v>0</v>
      </c>
    </row>
    <row r="28" spans="1:9" x14ac:dyDescent="0.2">
      <c r="A28" s="1">
        <v>1610</v>
      </c>
      <c r="B28" s="2">
        <v>160531</v>
      </c>
      <c r="C28" s="2" t="s">
        <v>101</v>
      </c>
      <c r="D28" s="3">
        <v>439829</v>
      </c>
      <c r="E28" s="3">
        <v>77409977</v>
      </c>
      <c r="F28" s="5"/>
      <c r="G28" s="5"/>
      <c r="H28" s="3">
        <f t="shared" si="0"/>
        <v>0</v>
      </c>
      <c r="I28" s="3">
        <f t="shared" si="1"/>
        <v>0</v>
      </c>
    </row>
    <row r="29" spans="1:9" x14ac:dyDescent="0.2">
      <c r="A29" s="1">
        <v>1610</v>
      </c>
      <c r="B29" s="2">
        <v>100606</v>
      </c>
      <c r="C29" s="2" t="s">
        <v>102</v>
      </c>
      <c r="D29" s="3">
        <v>464238</v>
      </c>
      <c r="E29" s="3">
        <v>81705996</v>
      </c>
      <c r="F29" s="5"/>
      <c r="G29" s="5"/>
      <c r="H29" s="3">
        <f t="shared" si="0"/>
        <v>0</v>
      </c>
      <c r="I29" s="3">
        <f t="shared" si="1"/>
        <v>0</v>
      </c>
    </row>
    <row r="30" spans="1:9" x14ac:dyDescent="0.2">
      <c r="A30" s="1">
        <v>1610</v>
      </c>
      <c r="B30" s="2">
        <v>101753</v>
      </c>
      <c r="C30" s="2" t="s">
        <v>103</v>
      </c>
      <c r="D30" s="3">
        <v>337892</v>
      </c>
      <c r="E30" s="3">
        <v>59469135</v>
      </c>
      <c r="F30" s="5"/>
      <c r="G30" s="5"/>
      <c r="H30" s="3">
        <f t="shared" si="0"/>
        <v>0</v>
      </c>
      <c r="I30" s="3">
        <f t="shared" si="1"/>
        <v>0</v>
      </c>
    </row>
    <row r="31" spans="1:9" x14ac:dyDescent="0.2">
      <c r="H31" s="9">
        <f t="shared" ref="H31:I31" si="2">SUM(H3:H30)</f>
        <v>0</v>
      </c>
      <c r="I31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D7A54-F8D4-48DE-8D36-AF340380A941}">
  <dimension ref="A1:K24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>
        <v>1611</v>
      </c>
      <c r="B3" s="2">
        <v>101477</v>
      </c>
      <c r="C3" s="2" t="s">
        <v>104</v>
      </c>
      <c r="D3" s="3">
        <v>437630</v>
      </c>
      <c r="E3" s="3">
        <v>77023035</v>
      </c>
      <c r="F3" s="5"/>
      <c r="G3" s="5"/>
      <c r="H3" s="3">
        <f t="shared" ref="H3:H23" si="0">F3*D3</f>
        <v>0</v>
      </c>
      <c r="I3" s="3">
        <f t="shared" ref="I3:I23" si="1">(G3*E3)/100</f>
        <v>0</v>
      </c>
    </row>
    <row r="4" spans="1:11" x14ac:dyDescent="0.2">
      <c r="A4" s="1">
        <v>1611</v>
      </c>
      <c r="B4" s="2">
        <v>101957</v>
      </c>
      <c r="C4" s="2" t="s">
        <v>105</v>
      </c>
      <c r="D4" s="3">
        <v>255168</v>
      </c>
      <c r="E4" s="3">
        <v>44909700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>
        <v>1611</v>
      </c>
      <c r="B5" s="2">
        <v>100308</v>
      </c>
      <c r="C5" s="2" t="s">
        <v>106</v>
      </c>
      <c r="D5" s="3">
        <v>510707</v>
      </c>
      <c r="E5" s="3">
        <v>89884603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>
        <v>1611</v>
      </c>
      <c r="B6" s="2">
        <v>101438</v>
      </c>
      <c r="C6" s="2" t="s">
        <v>107</v>
      </c>
      <c r="D6" s="3">
        <v>436988</v>
      </c>
      <c r="E6" s="3">
        <v>76909925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817829255</v>
      </c>
    </row>
    <row r="7" spans="1:11" ht="22.5" x14ac:dyDescent="0.6">
      <c r="A7" s="1">
        <v>1611</v>
      </c>
      <c r="B7" s="2">
        <v>101518</v>
      </c>
      <c r="C7" s="2" t="s">
        <v>108</v>
      </c>
      <c r="D7" s="3">
        <v>236785</v>
      </c>
      <c r="E7" s="3">
        <v>41674270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984840008</v>
      </c>
    </row>
    <row r="8" spans="1:11" x14ac:dyDescent="0.2">
      <c r="A8" s="1">
        <v>1611</v>
      </c>
      <c r="B8" s="2">
        <v>101879</v>
      </c>
      <c r="C8" s="2" t="s">
        <v>109</v>
      </c>
      <c r="D8" s="3">
        <v>255168</v>
      </c>
      <c r="E8" s="3">
        <v>44909700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>
        <v>1611</v>
      </c>
      <c r="B9" s="2">
        <v>100948</v>
      </c>
      <c r="C9" s="2" t="s">
        <v>110</v>
      </c>
      <c r="D9" s="3">
        <v>439856</v>
      </c>
      <c r="E9" s="3">
        <v>77414770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>
        <v>1611</v>
      </c>
      <c r="B10" s="2">
        <v>101242</v>
      </c>
      <c r="C10" s="2" t="s">
        <v>111</v>
      </c>
      <c r="D10" s="3">
        <v>439739</v>
      </c>
      <c r="E10" s="3">
        <v>77394223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>
        <v>1611</v>
      </c>
      <c r="B11" s="2">
        <v>100766</v>
      </c>
      <c r="C11" s="2" t="s">
        <v>112</v>
      </c>
      <c r="D11" s="3">
        <v>452888</v>
      </c>
      <c r="E11" s="3">
        <v>79708355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>
        <v>1611</v>
      </c>
      <c r="B12" s="2">
        <v>101357</v>
      </c>
      <c r="C12" s="2" t="s">
        <v>113</v>
      </c>
      <c r="D12" s="3">
        <v>400279</v>
      </c>
      <c r="E12" s="3">
        <v>70449224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>
        <v>1611</v>
      </c>
      <c r="B13" s="2">
        <v>100884</v>
      </c>
      <c r="C13" s="2" t="s">
        <v>114</v>
      </c>
      <c r="D13" s="3">
        <v>464063</v>
      </c>
      <c r="E13" s="3">
        <v>81675146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>
        <v>1611</v>
      </c>
      <c r="B14" s="2">
        <v>100971</v>
      </c>
      <c r="C14" s="2" t="s">
        <v>115</v>
      </c>
      <c r="D14" s="3">
        <v>450063</v>
      </c>
      <c r="E14" s="3">
        <v>79211135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>
        <v>1611</v>
      </c>
      <c r="B15" s="2">
        <v>100383</v>
      </c>
      <c r="C15" s="2" t="s">
        <v>116</v>
      </c>
      <c r="D15" s="3">
        <v>504931</v>
      </c>
      <c r="E15" s="3">
        <v>88867943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>
        <v>1611</v>
      </c>
      <c r="B16" s="2">
        <v>100286</v>
      </c>
      <c r="C16" s="2" t="s">
        <v>117</v>
      </c>
      <c r="D16" s="3">
        <v>538460</v>
      </c>
      <c r="E16" s="3">
        <v>94769125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>
        <v>1611</v>
      </c>
      <c r="B17" s="2">
        <v>100999</v>
      </c>
      <c r="C17" s="2" t="s">
        <v>118</v>
      </c>
      <c r="D17" s="3">
        <v>440756</v>
      </c>
      <c r="E17" s="3">
        <v>77573056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>
        <v>1611</v>
      </c>
      <c r="B18" s="2">
        <v>101158</v>
      </c>
      <c r="C18" s="2" t="s">
        <v>119</v>
      </c>
      <c r="D18" s="3">
        <v>442460</v>
      </c>
      <c r="E18" s="3">
        <v>77873083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>
        <v>1611</v>
      </c>
      <c r="B19" s="2">
        <v>101951</v>
      </c>
      <c r="C19" s="2" t="s">
        <v>120</v>
      </c>
      <c r="D19" s="3">
        <v>273689</v>
      </c>
      <c r="E19" s="3">
        <v>48169275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>
        <v>1611</v>
      </c>
      <c r="B20" s="2">
        <v>101023</v>
      </c>
      <c r="C20" s="2" t="s">
        <v>121</v>
      </c>
      <c r="D20" s="3">
        <v>371640</v>
      </c>
      <c r="E20" s="3">
        <v>65408805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A21" s="1">
        <v>1611</v>
      </c>
      <c r="B21" s="2">
        <v>101742</v>
      </c>
      <c r="C21" s="2" t="s">
        <v>122</v>
      </c>
      <c r="D21" s="3">
        <v>354992</v>
      </c>
      <c r="E21" s="3">
        <v>62478696</v>
      </c>
      <c r="F21" s="5"/>
      <c r="G21" s="5"/>
      <c r="H21" s="3">
        <f t="shared" si="0"/>
        <v>0</v>
      </c>
      <c r="I21" s="3">
        <f t="shared" si="1"/>
        <v>0</v>
      </c>
    </row>
    <row r="22" spans="1:9" x14ac:dyDescent="0.2">
      <c r="A22" s="1">
        <v>1611</v>
      </c>
      <c r="B22" s="2">
        <v>100411</v>
      </c>
      <c r="C22" s="2" t="s">
        <v>123</v>
      </c>
      <c r="D22" s="3">
        <v>524056</v>
      </c>
      <c r="E22" s="3">
        <v>92233900</v>
      </c>
      <c r="F22" s="5"/>
      <c r="G22" s="5"/>
      <c r="H22" s="3">
        <f t="shared" si="0"/>
        <v>0</v>
      </c>
      <c r="I22" s="3">
        <f t="shared" si="1"/>
        <v>0</v>
      </c>
    </row>
    <row r="23" spans="1:9" x14ac:dyDescent="0.2">
      <c r="A23" s="1">
        <v>1611</v>
      </c>
      <c r="B23" s="2">
        <v>101805</v>
      </c>
      <c r="C23" s="2" t="s">
        <v>124</v>
      </c>
      <c r="D23" s="3">
        <v>378411</v>
      </c>
      <c r="E23" s="3">
        <v>66600505</v>
      </c>
      <c r="F23" s="5"/>
      <c r="G23" s="5"/>
      <c r="H23" s="3">
        <f t="shared" si="0"/>
        <v>0</v>
      </c>
      <c r="I23" s="3">
        <f t="shared" si="1"/>
        <v>0</v>
      </c>
    </row>
    <row r="24" spans="1:9" x14ac:dyDescent="0.2">
      <c r="H24" s="9">
        <f t="shared" ref="H24:I24" si="2">SUM(H3:H23)</f>
        <v>0</v>
      </c>
      <c r="I24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821E-0C4E-4860-8BB6-6C31D797EB9D}">
  <dimension ref="A1:K11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125</v>
      </c>
      <c r="B3" s="2">
        <v>100763</v>
      </c>
      <c r="C3" s="2" t="s">
        <v>126</v>
      </c>
      <c r="D3" s="3">
        <v>447627</v>
      </c>
      <c r="E3" s="3">
        <v>78782418</v>
      </c>
      <c r="F3" s="5"/>
      <c r="G3" s="5"/>
      <c r="H3" s="3">
        <f t="shared" ref="H3:H10" si="0">F3*D3</f>
        <v>0</v>
      </c>
      <c r="I3" s="3">
        <f t="shared" ref="I3:I10" si="1">(G3*E3)/100</f>
        <v>0</v>
      </c>
    </row>
    <row r="4" spans="1:11" x14ac:dyDescent="0.2">
      <c r="A4" s="1" t="s">
        <v>125</v>
      </c>
      <c r="B4" s="2">
        <v>101364</v>
      </c>
      <c r="C4" s="2" t="s">
        <v>127</v>
      </c>
      <c r="D4" s="3">
        <v>398880</v>
      </c>
      <c r="E4" s="3">
        <v>70203017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125</v>
      </c>
      <c r="B5" s="2">
        <v>100967</v>
      </c>
      <c r="C5" s="2" t="s">
        <v>128</v>
      </c>
      <c r="D5" s="3">
        <v>347358</v>
      </c>
      <c r="E5" s="3">
        <v>61135140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125</v>
      </c>
      <c r="B6" s="2">
        <v>101235</v>
      </c>
      <c r="C6" s="2" t="s">
        <v>129</v>
      </c>
      <c r="D6" s="3">
        <v>406145</v>
      </c>
      <c r="E6" s="3">
        <v>71481602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305697500</v>
      </c>
    </row>
    <row r="7" spans="1:11" ht="22.5" x14ac:dyDescent="0.6">
      <c r="A7" s="1" t="s">
        <v>125</v>
      </c>
      <c r="B7" s="2">
        <v>100994</v>
      </c>
      <c r="C7" s="2" t="s">
        <v>130</v>
      </c>
      <c r="D7" s="3">
        <v>295995</v>
      </c>
      <c r="E7" s="3">
        <v>52095252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349718447</v>
      </c>
    </row>
    <row r="8" spans="1:11" x14ac:dyDescent="0.2">
      <c r="A8" s="1" t="s">
        <v>125</v>
      </c>
      <c r="B8" s="2">
        <v>101433</v>
      </c>
      <c r="C8" s="2" t="s">
        <v>131</v>
      </c>
      <c r="D8" s="3">
        <v>377778</v>
      </c>
      <c r="E8" s="3">
        <v>66488943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125</v>
      </c>
      <c r="B9" s="2">
        <v>101052</v>
      </c>
      <c r="C9" s="2" t="s">
        <v>132</v>
      </c>
      <c r="D9" s="3">
        <v>335039</v>
      </c>
      <c r="E9" s="3">
        <v>58966919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 t="s">
        <v>125</v>
      </c>
      <c r="B10" s="2">
        <v>101125</v>
      </c>
      <c r="C10" s="2" t="s">
        <v>133</v>
      </c>
      <c r="D10" s="3">
        <v>448153</v>
      </c>
      <c r="E10" s="3">
        <v>78875089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H11" s="9">
        <f t="shared" ref="H11:I11" si="2">SUM(H3:H10)</f>
        <v>0</v>
      </c>
      <c r="I11" s="9">
        <f t="shared" si="2"/>
        <v>0</v>
      </c>
    </row>
  </sheetData>
  <mergeCells count="1">
    <mergeCell ref="A1:I1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F33F-2DE9-4CE1-ABC6-DD3E07E47403}">
  <dimension ref="A1:K22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134</v>
      </c>
      <c r="B3" s="2">
        <v>101384</v>
      </c>
      <c r="C3" s="2" t="s">
        <v>135</v>
      </c>
      <c r="D3" s="3">
        <v>349058</v>
      </c>
      <c r="E3" s="3">
        <v>61434365</v>
      </c>
      <c r="F3" s="5"/>
      <c r="G3" s="5"/>
      <c r="H3" s="3">
        <f t="shared" ref="H3:H21" si="0">F3*D3</f>
        <v>0</v>
      </c>
      <c r="I3" s="3">
        <f t="shared" ref="I3:I21" si="1">(G3*E3)/100</f>
        <v>0</v>
      </c>
    </row>
    <row r="4" spans="1:11" x14ac:dyDescent="0.2">
      <c r="A4" s="1" t="s">
        <v>134</v>
      </c>
      <c r="B4" s="2">
        <v>100729</v>
      </c>
      <c r="C4" s="2" t="s">
        <v>136</v>
      </c>
      <c r="D4" s="3">
        <v>458997</v>
      </c>
      <c r="E4" s="3">
        <v>80783490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134</v>
      </c>
      <c r="B5" s="2">
        <v>101457</v>
      </c>
      <c r="C5" s="2" t="s">
        <v>137</v>
      </c>
      <c r="D5" s="3">
        <v>386817</v>
      </c>
      <c r="E5" s="3">
        <v>68079858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134</v>
      </c>
      <c r="B6" s="2">
        <v>101958</v>
      </c>
      <c r="C6" s="2" t="s">
        <v>138</v>
      </c>
      <c r="D6" s="3">
        <v>226359</v>
      </c>
      <c r="E6" s="3">
        <v>39839250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684138035</v>
      </c>
    </row>
    <row r="7" spans="1:11" ht="22.5" x14ac:dyDescent="0.6">
      <c r="A7" s="1" t="s">
        <v>134</v>
      </c>
      <c r="B7" s="2">
        <v>101368</v>
      </c>
      <c r="C7" s="2" t="s">
        <v>139</v>
      </c>
      <c r="D7" s="3">
        <v>441267</v>
      </c>
      <c r="E7" s="3">
        <v>77662997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861870992</v>
      </c>
    </row>
    <row r="8" spans="1:11" x14ac:dyDescent="0.2">
      <c r="A8" s="1" t="s">
        <v>134</v>
      </c>
      <c r="B8" s="2">
        <v>101381</v>
      </c>
      <c r="C8" s="2" t="s">
        <v>140</v>
      </c>
      <c r="D8" s="3">
        <v>427995</v>
      </c>
      <c r="E8" s="3">
        <v>75327231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134</v>
      </c>
      <c r="B9" s="2">
        <v>101919</v>
      </c>
      <c r="C9" s="2" t="s">
        <v>141</v>
      </c>
      <c r="D9" s="3">
        <v>226359</v>
      </c>
      <c r="E9" s="3">
        <v>39839250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 t="s">
        <v>134</v>
      </c>
      <c r="B10" s="2">
        <v>101451</v>
      </c>
      <c r="C10" s="2" t="s">
        <v>142</v>
      </c>
      <c r="D10" s="3">
        <v>392354</v>
      </c>
      <c r="E10" s="3">
        <v>69054360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 t="s">
        <v>134</v>
      </c>
      <c r="B11" s="2">
        <v>101362</v>
      </c>
      <c r="C11" s="2" t="s">
        <v>143</v>
      </c>
      <c r="D11" s="3">
        <v>349835</v>
      </c>
      <c r="E11" s="3">
        <v>61571119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 t="s">
        <v>134</v>
      </c>
      <c r="B12" s="2">
        <v>100868</v>
      </c>
      <c r="C12" s="2" t="s">
        <v>144</v>
      </c>
      <c r="D12" s="3">
        <v>471008</v>
      </c>
      <c r="E12" s="3">
        <v>82897574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 t="s">
        <v>134</v>
      </c>
      <c r="B13" s="2">
        <v>101552</v>
      </c>
      <c r="C13" s="2" t="s">
        <v>145</v>
      </c>
      <c r="D13" s="3">
        <v>320770</v>
      </c>
      <c r="E13" s="3">
        <v>56455666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 t="s">
        <v>134</v>
      </c>
      <c r="B14" s="2">
        <v>100976</v>
      </c>
      <c r="C14" s="2" t="s">
        <v>146</v>
      </c>
      <c r="D14" s="3">
        <v>351005</v>
      </c>
      <c r="E14" s="3">
        <v>61776985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 t="s">
        <v>134</v>
      </c>
      <c r="B15" s="2">
        <v>101355</v>
      </c>
      <c r="C15" s="2" t="s">
        <v>147</v>
      </c>
      <c r="D15" s="3">
        <v>351649</v>
      </c>
      <c r="E15" s="3">
        <v>61890347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 t="s">
        <v>134</v>
      </c>
      <c r="B16" s="2">
        <v>101126</v>
      </c>
      <c r="C16" s="2" t="s">
        <v>148</v>
      </c>
      <c r="D16" s="3">
        <v>434312</v>
      </c>
      <c r="E16" s="3">
        <v>76439001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 t="s">
        <v>134</v>
      </c>
      <c r="B17" s="2">
        <v>101132</v>
      </c>
      <c r="C17" s="2" t="s">
        <v>149</v>
      </c>
      <c r="D17" s="3">
        <v>474628</v>
      </c>
      <c r="E17" s="3">
        <v>83534596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 t="s">
        <v>134</v>
      </c>
      <c r="B18" s="2">
        <v>101484</v>
      </c>
      <c r="C18" s="2" t="s">
        <v>150</v>
      </c>
      <c r="D18" s="3">
        <v>422453</v>
      </c>
      <c r="E18" s="3">
        <v>74351773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 t="s">
        <v>134</v>
      </c>
      <c r="B19" s="2">
        <v>101030</v>
      </c>
      <c r="C19" s="2" t="s">
        <v>151</v>
      </c>
      <c r="D19" s="3">
        <v>344368</v>
      </c>
      <c r="E19" s="3">
        <v>60608779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 t="s">
        <v>134</v>
      </c>
      <c r="B20" s="2">
        <v>101455</v>
      </c>
      <c r="C20" s="2" t="s">
        <v>152</v>
      </c>
      <c r="D20" s="3">
        <v>349300</v>
      </c>
      <c r="E20" s="3">
        <v>61476834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A21" s="1" t="s">
        <v>134</v>
      </c>
      <c r="B21" s="2">
        <v>101485</v>
      </c>
      <c r="C21" s="2" t="s">
        <v>153</v>
      </c>
      <c r="D21" s="3">
        <v>422919</v>
      </c>
      <c r="E21" s="3">
        <v>74433866</v>
      </c>
      <c r="F21" s="5"/>
      <c r="G21" s="5"/>
      <c r="H21" s="3">
        <f t="shared" si="0"/>
        <v>0</v>
      </c>
      <c r="I21" s="3">
        <f t="shared" si="1"/>
        <v>0</v>
      </c>
    </row>
    <row r="22" spans="1:9" x14ac:dyDescent="0.2">
      <c r="H22" s="9">
        <f t="shared" ref="H22:I22" si="2">SUM(H3:H21)</f>
        <v>0</v>
      </c>
      <c r="I22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130F-CC3E-4B42-A9C1-C2F72FF5C3C4}">
  <dimension ref="A1:K35"/>
  <sheetViews>
    <sheetView rightToLeft="1" topLeftCell="A7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154</v>
      </c>
      <c r="B3" s="2">
        <v>100903</v>
      </c>
      <c r="C3" s="2" t="s">
        <v>155</v>
      </c>
      <c r="D3" s="3">
        <v>362339</v>
      </c>
      <c r="E3" s="3">
        <v>63771774</v>
      </c>
      <c r="F3" s="5"/>
      <c r="G3" s="5"/>
      <c r="H3" s="3">
        <f t="shared" ref="H3:H34" si="0">F3*D3</f>
        <v>0</v>
      </c>
      <c r="I3" s="3">
        <f t="shared" ref="I3:I34" si="1">(G3*E3)/100</f>
        <v>0</v>
      </c>
    </row>
    <row r="4" spans="1:11" x14ac:dyDescent="0.2">
      <c r="A4" s="1" t="s">
        <v>154</v>
      </c>
      <c r="B4" s="2">
        <v>101428</v>
      </c>
      <c r="C4" s="2" t="s">
        <v>156</v>
      </c>
      <c r="D4" s="3">
        <v>380352</v>
      </c>
      <c r="E4" s="3">
        <v>66941995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154</v>
      </c>
      <c r="B5" s="2">
        <v>101099</v>
      </c>
      <c r="C5" s="2" t="s">
        <v>157</v>
      </c>
      <c r="D5" s="3">
        <v>407770</v>
      </c>
      <c r="E5" s="3">
        <v>71767649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154</v>
      </c>
      <c r="B6" s="2">
        <v>100852</v>
      </c>
      <c r="C6" s="2" t="s">
        <v>158</v>
      </c>
      <c r="D6" s="3">
        <v>486265</v>
      </c>
      <c r="E6" s="3">
        <v>85582740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1427139525</v>
      </c>
    </row>
    <row r="7" spans="1:11" ht="22.5" x14ac:dyDescent="0.6">
      <c r="A7" s="1" t="s">
        <v>154</v>
      </c>
      <c r="B7" s="2">
        <v>101140</v>
      </c>
      <c r="C7" s="2" t="s">
        <v>159</v>
      </c>
      <c r="D7" s="3">
        <v>559039</v>
      </c>
      <c r="E7" s="3">
        <v>98390875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1609051962</v>
      </c>
    </row>
    <row r="8" spans="1:11" x14ac:dyDescent="0.2">
      <c r="A8" s="1" t="s">
        <v>154</v>
      </c>
      <c r="B8" s="2">
        <v>101525</v>
      </c>
      <c r="C8" s="2" t="s">
        <v>160</v>
      </c>
      <c r="D8" s="3">
        <v>326108</v>
      </c>
      <c r="E8" s="3">
        <v>57395085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154</v>
      </c>
      <c r="B9" s="2">
        <v>101534</v>
      </c>
      <c r="C9" s="2" t="s">
        <v>161</v>
      </c>
      <c r="D9" s="3">
        <v>355643</v>
      </c>
      <c r="E9" s="3">
        <v>62593276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 t="s">
        <v>154</v>
      </c>
      <c r="B10" s="2">
        <v>101098</v>
      </c>
      <c r="C10" s="2" t="s">
        <v>162</v>
      </c>
      <c r="D10" s="3">
        <v>410433</v>
      </c>
      <c r="E10" s="3">
        <v>72236337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 t="s">
        <v>154</v>
      </c>
      <c r="B11" s="2">
        <v>100684</v>
      </c>
      <c r="C11" s="2" t="s">
        <v>163</v>
      </c>
      <c r="D11" s="3">
        <v>507273</v>
      </c>
      <c r="E11" s="3">
        <v>89280199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 t="s">
        <v>154</v>
      </c>
      <c r="B12" s="2">
        <v>101230</v>
      </c>
      <c r="C12" s="2" t="s">
        <v>164</v>
      </c>
      <c r="D12" s="3">
        <v>424472</v>
      </c>
      <c r="E12" s="3">
        <v>74707243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 t="s">
        <v>154</v>
      </c>
      <c r="B13" s="2">
        <v>101561</v>
      </c>
      <c r="C13" s="2" t="s">
        <v>165</v>
      </c>
      <c r="D13" s="3">
        <v>456237</v>
      </c>
      <c r="E13" s="3">
        <v>71661840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 t="s">
        <v>154</v>
      </c>
      <c r="B14" s="2">
        <v>101475</v>
      </c>
      <c r="C14" s="2" t="s">
        <v>166</v>
      </c>
      <c r="D14" s="3">
        <v>428330</v>
      </c>
      <c r="E14" s="3">
        <v>75386207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 t="s">
        <v>154</v>
      </c>
      <c r="B15" s="2">
        <v>101316</v>
      </c>
      <c r="C15" s="2" t="s">
        <v>167</v>
      </c>
      <c r="D15" s="3">
        <v>424573</v>
      </c>
      <c r="E15" s="3">
        <v>74725017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 t="s">
        <v>154</v>
      </c>
      <c r="B16" s="2">
        <v>101272</v>
      </c>
      <c r="C16" s="2" t="s">
        <v>168</v>
      </c>
      <c r="D16" s="3">
        <v>423834</v>
      </c>
      <c r="E16" s="3">
        <v>74594801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 t="s">
        <v>154</v>
      </c>
      <c r="B17" s="2">
        <v>101144</v>
      </c>
      <c r="C17" s="2" t="s">
        <v>169</v>
      </c>
      <c r="D17" s="3">
        <v>436752</v>
      </c>
      <c r="E17" s="3">
        <v>76868448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 t="s">
        <v>154</v>
      </c>
      <c r="B18" s="2">
        <v>100437</v>
      </c>
      <c r="C18" s="2" t="s">
        <v>170</v>
      </c>
      <c r="D18" s="3">
        <v>455745</v>
      </c>
      <c r="E18" s="3">
        <v>80211242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 t="s">
        <v>154</v>
      </c>
      <c r="B19" s="2">
        <v>100468</v>
      </c>
      <c r="C19" s="2" t="s">
        <v>171</v>
      </c>
      <c r="D19" s="3">
        <v>408559</v>
      </c>
      <c r="E19" s="3">
        <v>71906436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 t="s">
        <v>154</v>
      </c>
      <c r="B20" s="2">
        <v>100518</v>
      </c>
      <c r="C20" s="2" t="s">
        <v>172</v>
      </c>
      <c r="D20" s="3">
        <v>503481</v>
      </c>
      <c r="E20" s="3">
        <v>88612687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A21" s="1" t="s">
        <v>154</v>
      </c>
      <c r="B21" s="2">
        <v>100848</v>
      </c>
      <c r="C21" s="2" t="s">
        <v>173</v>
      </c>
      <c r="D21" s="3">
        <v>467878</v>
      </c>
      <c r="E21" s="3">
        <v>82346603</v>
      </c>
      <c r="F21" s="5"/>
      <c r="G21" s="5"/>
      <c r="H21" s="3">
        <f t="shared" si="0"/>
        <v>0</v>
      </c>
      <c r="I21" s="3">
        <f t="shared" si="1"/>
        <v>0</v>
      </c>
    </row>
    <row r="22" spans="1:9" x14ac:dyDescent="0.2">
      <c r="A22" s="1" t="s">
        <v>154</v>
      </c>
      <c r="B22" s="2">
        <v>101499</v>
      </c>
      <c r="C22" s="2" t="s">
        <v>174</v>
      </c>
      <c r="D22" s="3">
        <v>353238</v>
      </c>
      <c r="E22" s="3">
        <v>62169915</v>
      </c>
      <c r="F22" s="5"/>
      <c r="G22" s="5"/>
      <c r="H22" s="3">
        <f t="shared" si="0"/>
        <v>0</v>
      </c>
      <c r="I22" s="3">
        <f t="shared" si="1"/>
        <v>0</v>
      </c>
    </row>
    <row r="23" spans="1:9" x14ac:dyDescent="0.2">
      <c r="A23" s="1" t="s">
        <v>154</v>
      </c>
      <c r="B23" s="2">
        <v>101483</v>
      </c>
      <c r="C23" s="2" t="s">
        <v>175</v>
      </c>
      <c r="D23" s="3">
        <v>357545</v>
      </c>
      <c r="E23" s="3">
        <v>62928068</v>
      </c>
      <c r="F23" s="5"/>
      <c r="G23" s="5"/>
      <c r="H23" s="3">
        <f t="shared" si="0"/>
        <v>0</v>
      </c>
      <c r="I23" s="3">
        <f t="shared" si="1"/>
        <v>0</v>
      </c>
    </row>
    <row r="24" spans="1:9" x14ac:dyDescent="0.2">
      <c r="A24" s="1" t="s">
        <v>154</v>
      </c>
      <c r="B24" s="2">
        <v>101041</v>
      </c>
      <c r="C24" s="2" t="s">
        <v>176</v>
      </c>
      <c r="D24" s="3">
        <v>456237</v>
      </c>
      <c r="E24" s="3">
        <v>71661840</v>
      </c>
      <c r="F24" s="5"/>
      <c r="G24" s="5"/>
      <c r="H24" s="3">
        <f t="shared" si="0"/>
        <v>0</v>
      </c>
      <c r="I24" s="3">
        <f t="shared" si="1"/>
        <v>0</v>
      </c>
    </row>
    <row r="25" spans="1:9" x14ac:dyDescent="0.2">
      <c r="A25" s="1" t="s">
        <v>154</v>
      </c>
      <c r="B25" s="2">
        <v>100327</v>
      </c>
      <c r="C25" s="2" t="s">
        <v>177</v>
      </c>
      <c r="D25" s="3">
        <v>452015</v>
      </c>
      <c r="E25" s="3">
        <v>79554760</v>
      </c>
      <c r="F25" s="5"/>
      <c r="G25" s="5"/>
      <c r="H25" s="3">
        <f t="shared" si="0"/>
        <v>0</v>
      </c>
      <c r="I25" s="3">
        <f t="shared" si="1"/>
        <v>0</v>
      </c>
    </row>
    <row r="26" spans="1:9" x14ac:dyDescent="0.2">
      <c r="A26" s="1" t="s">
        <v>154</v>
      </c>
      <c r="B26" s="2">
        <v>101043</v>
      </c>
      <c r="C26" s="2" t="s">
        <v>178</v>
      </c>
      <c r="D26" s="3">
        <v>384618</v>
      </c>
      <c r="E26" s="3">
        <v>67692922</v>
      </c>
      <c r="F26" s="5"/>
      <c r="G26" s="5"/>
      <c r="H26" s="3">
        <f t="shared" si="0"/>
        <v>0</v>
      </c>
      <c r="I26" s="3">
        <f t="shared" si="1"/>
        <v>0</v>
      </c>
    </row>
    <row r="27" spans="1:9" x14ac:dyDescent="0.2">
      <c r="A27" s="1" t="s">
        <v>154</v>
      </c>
      <c r="B27" s="2">
        <v>100765</v>
      </c>
      <c r="C27" s="2" t="s">
        <v>179</v>
      </c>
      <c r="D27" s="3">
        <v>440677</v>
      </c>
      <c r="E27" s="3">
        <v>77559270</v>
      </c>
      <c r="F27" s="5"/>
      <c r="G27" s="5"/>
      <c r="H27" s="3">
        <f t="shared" si="0"/>
        <v>0</v>
      </c>
      <c r="I27" s="3">
        <f t="shared" si="1"/>
        <v>0</v>
      </c>
    </row>
    <row r="28" spans="1:9" x14ac:dyDescent="0.2">
      <c r="A28" s="1" t="s">
        <v>154</v>
      </c>
      <c r="B28" s="2">
        <v>101055</v>
      </c>
      <c r="C28" s="2" t="s">
        <v>180</v>
      </c>
      <c r="D28" s="3">
        <v>360309</v>
      </c>
      <c r="E28" s="3">
        <v>63414428</v>
      </c>
      <c r="F28" s="5"/>
      <c r="G28" s="5"/>
      <c r="H28" s="3">
        <f t="shared" si="0"/>
        <v>0</v>
      </c>
      <c r="I28" s="3">
        <f t="shared" si="1"/>
        <v>0</v>
      </c>
    </row>
    <row r="29" spans="1:9" x14ac:dyDescent="0.2">
      <c r="A29" s="1" t="s">
        <v>154</v>
      </c>
      <c r="B29" s="2">
        <v>100814</v>
      </c>
      <c r="C29" s="2" t="s">
        <v>181</v>
      </c>
      <c r="D29" s="3">
        <v>467542</v>
      </c>
      <c r="E29" s="3">
        <v>82287424</v>
      </c>
      <c r="F29" s="5"/>
      <c r="G29" s="5"/>
      <c r="H29" s="3">
        <f t="shared" si="0"/>
        <v>0</v>
      </c>
      <c r="I29" s="3">
        <f t="shared" si="1"/>
        <v>0</v>
      </c>
    </row>
    <row r="30" spans="1:9" x14ac:dyDescent="0.2">
      <c r="A30" s="1" t="s">
        <v>154</v>
      </c>
      <c r="B30" s="2">
        <v>101530</v>
      </c>
      <c r="C30" s="2" t="s">
        <v>182</v>
      </c>
      <c r="D30" s="3">
        <v>322252</v>
      </c>
      <c r="E30" s="3">
        <v>56716432</v>
      </c>
      <c r="F30" s="5"/>
      <c r="G30" s="5"/>
      <c r="H30" s="3">
        <f t="shared" si="0"/>
        <v>0</v>
      </c>
      <c r="I30" s="3">
        <f t="shared" si="1"/>
        <v>0</v>
      </c>
    </row>
    <row r="31" spans="1:9" x14ac:dyDescent="0.2">
      <c r="A31" s="1" t="s">
        <v>154</v>
      </c>
      <c r="B31" s="2">
        <v>101079</v>
      </c>
      <c r="C31" s="2" t="s">
        <v>183</v>
      </c>
      <c r="D31" s="3">
        <v>456872</v>
      </c>
      <c r="E31" s="3">
        <v>80409647</v>
      </c>
      <c r="F31" s="5"/>
      <c r="G31" s="5"/>
      <c r="H31" s="3">
        <f t="shared" si="0"/>
        <v>0</v>
      </c>
      <c r="I31" s="3">
        <f t="shared" si="1"/>
        <v>0</v>
      </c>
    </row>
    <row r="32" spans="1:9" x14ac:dyDescent="0.2">
      <c r="A32" s="1" t="s">
        <v>154</v>
      </c>
      <c r="B32" s="2">
        <v>101560</v>
      </c>
      <c r="C32" s="2" t="s">
        <v>184</v>
      </c>
      <c r="D32" s="3">
        <v>456237</v>
      </c>
      <c r="E32" s="3">
        <v>71661840</v>
      </c>
      <c r="F32" s="5"/>
      <c r="G32" s="5"/>
      <c r="H32" s="3">
        <f t="shared" si="0"/>
        <v>0</v>
      </c>
      <c r="I32" s="3">
        <f t="shared" si="1"/>
        <v>0</v>
      </c>
    </row>
    <row r="33" spans="1:9" x14ac:dyDescent="0.2">
      <c r="A33" s="1" t="s">
        <v>154</v>
      </c>
      <c r="B33" s="2">
        <v>242333</v>
      </c>
      <c r="C33" s="2" t="s">
        <v>185</v>
      </c>
      <c r="D33" s="3">
        <v>353178</v>
      </c>
      <c r="E33" s="3">
        <v>62159468</v>
      </c>
      <c r="F33" s="5"/>
      <c r="G33" s="5"/>
      <c r="H33" s="3">
        <f t="shared" si="0"/>
        <v>0</v>
      </c>
      <c r="I33" s="3">
        <f t="shared" si="1"/>
        <v>0</v>
      </c>
    </row>
    <row r="34" spans="1:9" x14ac:dyDescent="0.2">
      <c r="A34" s="1" t="s">
        <v>154</v>
      </c>
      <c r="B34" s="2">
        <v>100135</v>
      </c>
      <c r="C34" s="2" t="s">
        <v>186</v>
      </c>
      <c r="D34" s="3">
        <v>506002</v>
      </c>
      <c r="E34" s="3">
        <v>89056418</v>
      </c>
      <c r="F34" s="5"/>
      <c r="G34" s="5"/>
      <c r="H34" s="3">
        <f t="shared" si="0"/>
        <v>0</v>
      </c>
      <c r="I34" s="3">
        <f t="shared" si="1"/>
        <v>0</v>
      </c>
    </row>
    <row r="35" spans="1:9" x14ac:dyDescent="0.2">
      <c r="H35" s="9">
        <f t="shared" ref="H35:I35" si="2">SUM(H3:H34)</f>
        <v>0</v>
      </c>
      <c r="I35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735B-CB5A-46E1-9C91-C0AC16C6EF2D}">
  <dimension ref="A1:K38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>
        <v>1605</v>
      </c>
      <c r="B3" s="2">
        <v>100832</v>
      </c>
      <c r="C3" s="2" t="s">
        <v>187</v>
      </c>
      <c r="D3" s="3">
        <v>480462</v>
      </c>
      <c r="E3" s="3">
        <v>84561464</v>
      </c>
      <c r="F3" s="5"/>
      <c r="G3" s="5"/>
      <c r="H3" s="3">
        <f t="shared" ref="H3:H37" si="0">F3*D3</f>
        <v>0</v>
      </c>
      <c r="I3" s="3">
        <f t="shared" ref="I3:I37" si="1">(G3*E3)/100</f>
        <v>0</v>
      </c>
    </row>
    <row r="4" spans="1:11" x14ac:dyDescent="0.2">
      <c r="A4" s="1">
        <v>1605</v>
      </c>
      <c r="B4" s="2">
        <v>101938</v>
      </c>
      <c r="C4" s="2" t="s">
        <v>188</v>
      </c>
      <c r="D4" s="3">
        <v>226359</v>
      </c>
      <c r="E4" s="3">
        <v>39839250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>
        <v>1605</v>
      </c>
      <c r="B5" s="2">
        <v>101766</v>
      </c>
      <c r="C5" s="2" t="s">
        <v>189</v>
      </c>
      <c r="D5" s="3">
        <v>308150</v>
      </c>
      <c r="E5" s="3">
        <v>54234499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>
        <v>1605</v>
      </c>
      <c r="B6" s="2">
        <v>170665</v>
      </c>
      <c r="C6" s="2" t="s">
        <v>190</v>
      </c>
      <c r="D6" s="3">
        <v>393679</v>
      </c>
      <c r="E6" s="3">
        <v>69287586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1408919300</v>
      </c>
    </row>
    <row r="7" spans="1:11" ht="22.5" x14ac:dyDescent="0.6">
      <c r="A7" s="1">
        <v>1605</v>
      </c>
      <c r="B7" s="2">
        <v>100738</v>
      </c>
      <c r="C7" s="2" t="s">
        <v>191</v>
      </c>
      <c r="D7" s="3">
        <v>456170</v>
      </c>
      <c r="E7" s="3">
        <v>80285982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1611805617</v>
      </c>
    </row>
    <row r="8" spans="1:11" x14ac:dyDescent="0.2">
      <c r="A8" s="1">
        <v>1605</v>
      </c>
      <c r="B8" s="2">
        <v>101876</v>
      </c>
      <c r="C8" s="2" t="s">
        <v>192</v>
      </c>
      <c r="D8" s="3">
        <v>226359</v>
      </c>
      <c r="E8" s="3">
        <v>39839250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>
        <v>1605</v>
      </c>
      <c r="B9" s="2">
        <v>101453</v>
      </c>
      <c r="C9" s="2" t="s">
        <v>193</v>
      </c>
      <c r="D9" s="3">
        <v>473645</v>
      </c>
      <c r="E9" s="3">
        <v>83361531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>
        <v>1605</v>
      </c>
      <c r="B10" s="2">
        <v>100601</v>
      </c>
      <c r="C10" s="2" t="s">
        <v>194</v>
      </c>
      <c r="D10" s="3">
        <v>511712</v>
      </c>
      <c r="E10" s="3">
        <v>90061387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>
        <v>1605</v>
      </c>
      <c r="B11" s="2">
        <v>100698</v>
      </c>
      <c r="C11" s="2" t="s">
        <v>195</v>
      </c>
      <c r="D11" s="3">
        <v>484079</v>
      </c>
      <c r="E11" s="3">
        <v>85198044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>
        <v>1605</v>
      </c>
      <c r="B12" s="2">
        <v>101913</v>
      </c>
      <c r="C12" s="2" t="s">
        <v>196</v>
      </c>
      <c r="D12" s="3">
        <v>226359</v>
      </c>
      <c r="E12" s="3">
        <v>39839250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>
        <v>1605</v>
      </c>
      <c r="B13" s="2">
        <v>101404</v>
      </c>
      <c r="C13" s="2" t="s">
        <v>197</v>
      </c>
      <c r="D13" s="3">
        <v>431707</v>
      </c>
      <c r="E13" s="3">
        <v>75980593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>
        <v>1605</v>
      </c>
      <c r="B14" s="2">
        <v>101290</v>
      </c>
      <c r="C14" s="2" t="s">
        <v>198</v>
      </c>
      <c r="D14" s="3">
        <v>440582</v>
      </c>
      <c r="E14" s="3">
        <v>77542547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>
        <v>1605</v>
      </c>
      <c r="B15" s="2">
        <v>101193</v>
      </c>
      <c r="C15" s="2" t="s">
        <v>199</v>
      </c>
      <c r="D15" s="3">
        <v>439399</v>
      </c>
      <c r="E15" s="3">
        <v>77334386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>
        <v>1605</v>
      </c>
      <c r="B16" s="2">
        <v>101924</v>
      </c>
      <c r="C16" s="2" t="s">
        <v>200</v>
      </c>
      <c r="D16" s="3">
        <v>226359</v>
      </c>
      <c r="E16" s="3">
        <v>39839250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>
        <v>1605</v>
      </c>
      <c r="B17" s="2">
        <v>101740</v>
      </c>
      <c r="C17" s="2" t="s">
        <v>201</v>
      </c>
      <c r="D17" s="3">
        <v>335665</v>
      </c>
      <c r="E17" s="3">
        <v>59077165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>
        <v>1605</v>
      </c>
      <c r="B18" s="2">
        <v>101378</v>
      </c>
      <c r="C18" s="2" t="s">
        <v>202</v>
      </c>
      <c r="D18" s="3">
        <v>402017</v>
      </c>
      <c r="E18" s="3">
        <v>70754993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>
        <v>1605</v>
      </c>
      <c r="B19" s="2">
        <v>101895</v>
      </c>
      <c r="C19" s="2" t="s">
        <v>203</v>
      </c>
      <c r="D19" s="3">
        <v>226359</v>
      </c>
      <c r="E19" s="3">
        <v>39839250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>
        <v>1605</v>
      </c>
      <c r="B20" s="2">
        <v>100463</v>
      </c>
      <c r="C20" s="2" t="s">
        <v>204</v>
      </c>
      <c r="D20" s="3">
        <v>513357</v>
      </c>
      <c r="E20" s="3">
        <v>90350947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A21" s="1">
        <v>1605</v>
      </c>
      <c r="B21" s="2">
        <v>100436</v>
      </c>
      <c r="C21" s="2" t="s">
        <v>205</v>
      </c>
      <c r="D21" s="3">
        <v>539832</v>
      </c>
      <c r="E21" s="3">
        <v>95010575</v>
      </c>
      <c r="F21" s="5"/>
      <c r="G21" s="5"/>
      <c r="H21" s="3">
        <f t="shared" si="0"/>
        <v>0</v>
      </c>
      <c r="I21" s="3">
        <f t="shared" si="1"/>
        <v>0</v>
      </c>
    </row>
    <row r="22" spans="1:9" x14ac:dyDescent="0.2">
      <c r="A22" s="1">
        <v>1605</v>
      </c>
      <c r="B22" s="2">
        <v>100584</v>
      </c>
      <c r="C22" s="2" t="s">
        <v>206</v>
      </c>
      <c r="D22" s="3">
        <v>526117</v>
      </c>
      <c r="E22" s="3">
        <v>92596612</v>
      </c>
      <c r="F22" s="5"/>
      <c r="G22" s="5"/>
      <c r="H22" s="3">
        <f t="shared" si="0"/>
        <v>0</v>
      </c>
      <c r="I22" s="3">
        <f t="shared" si="1"/>
        <v>0</v>
      </c>
    </row>
    <row r="23" spans="1:9" x14ac:dyDescent="0.2">
      <c r="A23" s="1">
        <v>1605</v>
      </c>
      <c r="B23" s="2">
        <v>101000</v>
      </c>
      <c r="C23" s="2" t="s">
        <v>207</v>
      </c>
      <c r="D23" s="3">
        <v>317870</v>
      </c>
      <c r="E23" s="3">
        <v>55945236</v>
      </c>
      <c r="F23" s="5"/>
      <c r="G23" s="5"/>
      <c r="H23" s="3">
        <f t="shared" si="0"/>
        <v>0</v>
      </c>
      <c r="I23" s="3">
        <f t="shared" si="1"/>
        <v>0</v>
      </c>
    </row>
    <row r="24" spans="1:9" x14ac:dyDescent="0.2">
      <c r="A24" s="1">
        <v>1605</v>
      </c>
      <c r="B24" s="2">
        <v>100776</v>
      </c>
      <c r="C24" s="2" t="s">
        <v>208</v>
      </c>
      <c r="D24" s="3">
        <v>428416</v>
      </c>
      <c r="E24" s="3">
        <v>75401257</v>
      </c>
      <c r="F24" s="5"/>
      <c r="G24" s="5"/>
      <c r="H24" s="3">
        <f t="shared" si="0"/>
        <v>0</v>
      </c>
      <c r="I24" s="3">
        <f t="shared" si="1"/>
        <v>0</v>
      </c>
    </row>
    <row r="25" spans="1:9" x14ac:dyDescent="0.2">
      <c r="A25" s="1">
        <v>1605</v>
      </c>
      <c r="B25" s="2">
        <v>101370</v>
      </c>
      <c r="C25" s="2" t="s">
        <v>209</v>
      </c>
      <c r="D25" s="3">
        <v>386241</v>
      </c>
      <c r="E25" s="3">
        <v>67978449</v>
      </c>
      <c r="F25" s="5"/>
      <c r="G25" s="5"/>
      <c r="H25" s="3">
        <f t="shared" si="0"/>
        <v>0</v>
      </c>
      <c r="I25" s="3">
        <f t="shared" si="1"/>
        <v>0</v>
      </c>
    </row>
    <row r="26" spans="1:9" x14ac:dyDescent="0.2">
      <c r="A26" s="1">
        <v>1605</v>
      </c>
      <c r="B26" s="2">
        <v>101415</v>
      </c>
      <c r="C26" s="2" t="s">
        <v>210</v>
      </c>
      <c r="D26" s="3">
        <v>432952</v>
      </c>
      <c r="E26" s="3">
        <v>76199679</v>
      </c>
      <c r="F26" s="5"/>
      <c r="G26" s="5"/>
      <c r="H26" s="3">
        <f t="shared" si="0"/>
        <v>0</v>
      </c>
      <c r="I26" s="3">
        <f t="shared" si="1"/>
        <v>0</v>
      </c>
    </row>
    <row r="27" spans="1:9" x14ac:dyDescent="0.2">
      <c r="A27" s="1">
        <v>1605</v>
      </c>
      <c r="B27" s="2">
        <v>101387</v>
      </c>
      <c r="C27" s="2" t="s">
        <v>211</v>
      </c>
      <c r="D27" s="3">
        <v>399267</v>
      </c>
      <c r="E27" s="3">
        <v>70271065</v>
      </c>
      <c r="F27" s="5"/>
      <c r="G27" s="5"/>
      <c r="H27" s="3">
        <f t="shared" si="0"/>
        <v>0</v>
      </c>
      <c r="I27" s="3">
        <f t="shared" si="1"/>
        <v>0</v>
      </c>
    </row>
    <row r="28" spans="1:9" x14ac:dyDescent="0.2">
      <c r="A28" s="1">
        <v>1605</v>
      </c>
      <c r="B28" s="2">
        <v>101326</v>
      </c>
      <c r="C28" s="2" t="s">
        <v>212</v>
      </c>
      <c r="D28" s="3">
        <v>393417</v>
      </c>
      <c r="E28" s="3">
        <v>69241460</v>
      </c>
      <c r="F28" s="5"/>
      <c r="G28" s="5"/>
      <c r="H28" s="3">
        <f t="shared" si="0"/>
        <v>0</v>
      </c>
      <c r="I28" s="3">
        <f t="shared" si="1"/>
        <v>0</v>
      </c>
    </row>
    <row r="29" spans="1:9" x14ac:dyDescent="0.2">
      <c r="A29" s="1">
        <v>1605</v>
      </c>
      <c r="B29" s="2">
        <v>101091</v>
      </c>
      <c r="C29" s="2" t="s">
        <v>213</v>
      </c>
      <c r="D29" s="3">
        <v>425792</v>
      </c>
      <c r="E29" s="3">
        <v>74939549</v>
      </c>
      <c r="F29" s="5"/>
      <c r="G29" s="5"/>
      <c r="H29" s="3">
        <f t="shared" si="0"/>
        <v>0</v>
      </c>
      <c r="I29" s="3">
        <f t="shared" si="1"/>
        <v>0</v>
      </c>
    </row>
    <row r="30" spans="1:9" x14ac:dyDescent="0.2">
      <c r="A30" s="1">
        <v>1605</v>
      </c>
      <c r="B30" s="2">
        <v>101170</v>
      </c>
      <c r="C30" s="2" t="s">
        <v>214</v>
      </c>
      <c r="D30" s="3">
        <v>440378</v>
      </c>
      <c r="E30" s="3">
        <v>77506557</v>
      </c>
      <c r="F30" s="5"/>
      <c r="G30" s="5"/>
      <c r="H30" s="3">
        <f t="shared" si="0"/>
        <v>0</v>
      </c>
      <c r="I30" s="3">
        <f t="shared" si="1"/>
        <v>0</v>
      </c>
    </row>
    <row r="31" spans="1:9" x14ac:dyDescent="0.2">
      <c r="A31" s="1">
        <v>1605</v>
      </c>
      <c r="B31" s="2">
        <v>101117</v>
      </c>
      <c r="C31" s="2" t="s">
        <v>215</v>
      </c>
      <c r="D31" s="3">
        <v>435467</v>
      </c>
      <c r="E31" s="3">
        <v>76642333</v>
      </c>
      <c r="F31" s="5"/>
      <c r="G31" s="5"/>
      <c r="H31" s="3">
        <f t="shared" si="0"/>
        <v>0</v>
      </c>
      <c r="I31" s="3">
        <f t="shared" si="1"/>
        <v>0</v>
      </c>
    </row>
    <row r="32" spans="1:9" x14ac:dyDescent="0.2">
      <c r="A32" s="1">
        <v>1605</v>
      </c>
      <c r="B32" s="2">
        <v>101465</v>
      </c>
      <c r="C32" s="2" t="s">
        <v>216</v>
      </c>
      <c r="D32" s="3">
        <v>441519</v>
      </c>
      <c r="E32" s="3">
        <v>77707355</v>
      </c>
      <c r="F32" s="5"/>
      <c r="G32" s="5"/>
      <c r="H32" s="3">
        <f t="shared" si="0"/>
        <v>0</v>
      </c>
      <c r="I32" s="3">
        <f t="shared" si="1"/>
        <v>0</v>
      </c>
    </row>
    <row r="33" spans="1:9" x14ac:dyDescent="0.2">
      <c r="A33" s="1">
        <v>1605</v>
      </c>
      <c r="B33" s="2">
        <v>101877</v>
      </c>
      <c r="C33" s="2" t="s">
        <v>217</v>
      </c>
      <c r="D33" s="3">
        <v>226359</v>
      </c>
      <c r="E33" s="3">
        <v>39839250</v>
      </c>
      <c r="F33" s="5"/>
      <c r="G33" s="5"/>
      <c r="H33" s="3">
        <f t="shared" si="0"/>
        <v>0</v>
      </c>
      <c r="I33" s="3">
        <f t="shared" si="1"/>
        <v>0</v>
      </c>
    </row>
    <row r="34" spans="1:9" x14ac:dyDescent="0.2">
      <c r="A34" s="1">
        <v>1605</v>
      </c>
      <c r="B34" s="2">
        <v>101331</v>
      </c>
      <c r="C34" s="2" t="s">
        <v>218</v>
      </c>
      <c r="D34" s="3">
        <v>399273</v>
      </c>
      <c r="E34" s="3">
        <v>70272057</v>
      </c>
      <c r="F34" s="5"/>
      <c r="G34" s="5"/>
      <c r="H34" s="3">
        <f t="shared" si="0"/>
        <v>0</v>
      </c>
      <c r="I34" s="3">
        <f t="shared" si="1"/>
        <v>0</v>
      </c>
    </row>
    <row r="35" spans="1:9" x14ac:dyDescent="0.2">
      <c r="A35" s="1">
        <v>1605</v>
      </c>
      <c r="B35" s="2">
        <v>101206</v>
      </c>
      <c r="C35" s="2" t="s">
        <v>219</v>
      </c>
      <c r="D35" s="3">
        <v>444354</v>
      </c>
      <c r="E35" s="3">
        <v>78206415</v>
      </c>
      <c r="F35" s="5"/>
      <c r="G35" s="5"/>
      <c r="H35" s="3">
        <f t="shared" si="0"/>
        <v>0</v>
      </c>
      <c r="I35" s="3">
        <f t="shared" si="1"/>
        <v>0</v>
      </c>
    </row>
    <row r="36" spans="1:9" x14ac:dyDescent="0.2">
      <c r="A36" s="1">
        <v>1605</v>
      </c>
      <c r="B36" s="2">
        <v>100456</v>
      </c>
      <c r="C36" s="2" t="s">
        <v>220</v>
      </c>
      <c r="D36" s="3">
        <v>552865</v>
      </c>
      <c r="E36" s="3">
        <v>97304350</v>
      </c>
      <c r="F36" s="5"/>
      <c r="G36" s="5"/>
      <c r="H36" s="3">
        <f t="shared" si="0"/>
        <v>0</v>
      </c>
      <c r="I36" s="3">
        <f t="shared" si="1"/>
        <v>0</v>
      </c>
    </row>
    <row r="37" spans="1:9" x14ac:dyDescent="0.2">
      <c r="A37" s="1">
        <v>1605</v>
      </c>
      <c r="B37" s="2">
        <v>100897</v>
      </c>
      <c r="C37" s="2" t="s">
        <v>221</v>
      </c>
      <c r="D37" s="3">
        <v>496655</v>
      </c>
      <c r="E37" s="3">
        <v>87411376</v>
      </c>
      <c r="F37" s="5"/>
      <c r="G37" s="5"/>
      <c r="H37" s="3">
        <f t="shared" si="0"/>
        <v>0</v>
      </c>
      <c r="I37" s="3">
        <f t="shared" si="1"/>
        <v>0</v>
      </c>
    </row>
    <row r="38" spans="1:9" x14ac:dyDescent="0.2">
      <c r="H38" s="9">
        <f t="shared" ref="H38:I38" si="2">SUM(H3:H37)</f>
        <v>0</v>
      </c>
      <c r="I38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1203-E82F-4FFB-9401-A52BF92A9244}">
  <dimension ref="A1:K92"/>
  <sheetViews>
    <sheetView rightToLeft="1" topLeftCell="A6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222</v>
      </c>
      <c r="B3" s="2">
        <v>100303</v>
      </c>
      <c r="C3" s="2" t="s">
        <v>223</v>
      </c>
      <c r="D3" s="3">
        <v>441861</v>
      </c>
      <c r="E3" s="3">
        <v>77767634</v>
      </c>
      <c r="F3" s="5"/>
      <c r="G3" s="5"/>
      <c r="H3" s="3">
        <f t="shared" ref="H3:H34" si="0">F3*D3</f>
        <v>0</v>
      </c>
      <c r="I3" s="3">
        <f t="shared" ref="I3:I34" si="1">(G3*E3)/100</f>
        <v>0</v>
      </c>
    </row>
    <row r="4" spans="1:11" x14ac:dyDescent="0.2">
      <c r="A4" s="1" t="s">
        <v>222</v>
      </c>
      <c r="B4" s="2">
        <v>101967</v>
      </c>
      <c r="C4" s="2" t="s">
        <v>224</v>
      </c>
      <c r="D4" s="3">
        <v>226359</v>
      </c>
      <c r="E4" s="3">
        <v>39839250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222</v>
      </c>
      <c r="B5" s="2">
        <v>100419</v>
      </c>
      <c r="C5" s="2" t="s">
        <v>225</v>
      </c>
      <c r="D5" s="3">
        <v>455020</v>
      </c>
      <c r="E5" s="3">
        <v>80083632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222</v>
      </c>
      <c r="B6" s="2">
        <v>100908</v>
      </c>
      <c r="C6" s="2" t="s">
        <v>226</v>
      </c>
      <c r="D6" s="3">
        <v>372985</v>
      </c>
      <c r="E6" s="3">
        <v>65645426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3508129410</v>
      </c>
    </row>
    <row r="7" spans="1:11" ht="22.5" x14ac:dyDescent="0.6">
      <c r="A7" s="1" t="s">
        <v>222</v>
      </c>
      <c r="B7" s="2">
        <v>101464</v>
      </c>
      <c r="C7" s="2" t="s">
        <v>227</v>
      </c>
      <c r="D7" s="3">
        <v>387745</v>
      </c>
      <c r="E7" s="3">
        <v>68243291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4029553372</v>
      </c>
    </row>
    <row r="8" spans="1:11" x14ac:dyDescent="0.2">
      <c r="A8" s="1" t="s">
        <v>222</v>
      </c>
      <c r="B8" s="2">
        <v>100505</v>
      </c>
      <c r="C8" s="2" t="s">
        <v>228</v>
      </c>
      <c r="D8" s="3">
        <v>460826</v>
      </c>
      <c r="E8" s="3">
        <v>81105396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222</v>
      </c>
      <c r="B9" s="2">
        <v>170628</v>
      </c>
      <c r="C9" s="2" t="s">
        <v>229</v>
      </c>
      <c r="D9" s="3">
        <v>413344</v>
      </c>
      <c r="E9" s="3">
        <v>72748545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 t="s">
        <v>222</v>
      </c>
      <c r="B10" s="2">
        <v>101227</v>
      </c>
      <c r="C10" s="2" t="s">
        <v>230</v>
      </c>
      <c r="D10" s="3">
        <v>433916</v>
      </c>
      <c r="E10" s="3">
        <v>76369339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 t="s">
        <v>222</v>
      </c>
      <c r="B11" s="2">
        <v>100888</v>
      </c>
      <c r="C11" s="2" t="s">
        <v>231</v>
      </c>
      <c r="D11" s="3">
        <v>399888</v>
      </c>
      <c r="E11" s="3">
        <v>70380436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 t="s">
        <v>222</v>
      </c>
      <c r="B12" s="2">
        <v>100700</v>
      </c>
      <c r="C12" s="2" t="s">
        <v>232</v>
      </c>
      <c r="D12" s="3">
        <v>479015</v>
      </c>
      <c r="E12" s="3">
        <v>84306794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 t="s">
        <v>222</v>
      </c>
      <c r="B13" s="2">
        <v>101338</v>
      </c>
      <c r="C13" s="2" t="s">
        <v>233</v>
      </c>
      <c r="D13" s="3">
        <v>417020</v>
      </c>
      <c r="E13" s="3">
        <v>73395631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 t="s">
        <v>222</v>
      </c>
      <c r="B14" s="2">
        <v>100198</v>
      </c>
      <c r="C14" s="2" t="s">
        <v>234</v>
      </c>
      <c r="D14" s="3">
        <v>530229</v>
      </c>
      <c r="E14" s="3">
        <v>93320425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 t="s">
        <v>222</v>
      </c>
      <c r="B15" s="2">
        <v>100310</v>
      </c>
      <c r="C15" s="2" t="s">
        <v>235</v>
      </c>
      <c r="D15" s="3">
        <v>432190</v>
      </c>
      <c r="E15" s="3">
        <v>76065508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 t="s">
        <v>222</v>
      </c>
      <c r="B16" s="2">
        <v>100421</v>
      </c>
      <c r="C16" s="2" t="s">
        <v>236</v>
      </c>
      <c r="D16" s="3">
        <v>458044</v>
      </c>
      <c r="E16" s="3">
        <v>80615814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 t="s">
        <v>222</v>
      </c>
      <c r="B17" s="2">
        <v>101885</v>
      </c>
      <c r="C17" s="2" t="s">
        <v>237</v>
      </c>
      <c r="D17" s="3">
        <v>255168</v>
      </c>
      <c r="E17" s="3">
        <v>44909700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 t="s">
        <v>222</v>
      </c>
      <c r="B18" s="2">
        <v>101881</v>
      </c>
      <c r="C18" s="2" t="s">
        <v>238</v>
      </c>
      <c r="D18" s="3">
        <v>255168</v>
      </c>
      <c r="E18" s="3">
        <v>44909700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 t="s">
        <v>222</v>
      </c>
      <c r="B19" s="2">
        <v>100805</v>
      </c>
      <c r="C19" s="2" t="s">
        <v>239</v>
      </c>
      <c r="D19" s="3">
        <v>468318</v>
      </c>
      <c r="E19" s="3">
        <v>82424106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 t="s">
        <v>222</v>
      </c>
      <c r="B20" s="2">
        <v>101812</v>
      </c>
      <c r="C20" s="2" t="s">
        <v>240</v>
      </c>
      <c r="D20" s="3">
        <v>302471</v>
      </c>
      <c r="E20" s="3">
        <v>53234896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A21" s="1" t="s">
        <v>222</v>
      </c>
      <c r="B21" s="2">
        <v>100343</v>
      </c>
      <c r="C21" s="2" t="s">
        <v>241</v>
      </c>
      <c r="D21" s="3">
        <v>452692</v>
      </c>
      <c r="E21" s="3">
        <v>79673884</v>
      </c>
      <c r="F21" s="5"/>
      <c r="G21" s="5"/>
      <c r="H21" s="3">
        <f t="shared" si="0"/>
        <v>0</v>
      </c>
      <c r="I21" s="3">
        <f t="shared" si="1"/>
        <v>0</v>
      </c>
    </row>
    <row r="22" spans="1:9" x14ac:dyDescent="0.2">
      <c r="A22" s="1" t="s">
        <v>222</v>
      </c>
      <c r="B22" s="2">
        <v>100453</v>
      </c>
      <c r="C22" s="2" t="s">
        <v>242</v>
      </c>
      <c r="D22" s="3">
        <v>417128</v>
      </c>
      <c r="E22" s="3">
        <v>73414652</v>
      </c>
      <c r="F22" s="5"/>
      <c r="G22" s="5"/>
      <c r="H22" s="3">
        <f t="shared" si="0"/>
        <v>0</v>
      </c>
      <c r="I22" s="3">
        <f t="shared" si="1"/>
        <v>0</v>
      </c>
    </row>
    <row r="23" spans="1:9" x14ac:dyDescent="0.2">
      <c r="A23" s="1" t="s">
        <v>222</v>
      </c>
      <c r="B23" s="2">
        <v>101118</v>
      </c>
      <c r="C23" s="2" t="s">
        <v>243</v>
      </c>
      <c r="D23" s="3">
        <v>431958</v>
      </c>
      <c r="E23" s="3">
        <v>76024735</v>
      </c>
      <c r="F23" s="5"/>
      <c r="G23" s="5"/>
      <c r="H23" s="3">
        <f t="shared" si="0"/>
        <v>0</v>
      </c>
      <c r="I23" s="3">
        <f t="shared" si="1"/>
        <v>0</v>
      </c>
    </row>
    <row r="24" spans="1:9" x14ac:dyDescent="0.2">
      <c r="A24" s="1" t="s">
        <v>222</v>
      </c>
      <c r="B24" s="2">
        <v>101294</v>
      </c>
      <c r="C24" s="2" t="s">
        <v>244</v>
      </c>
      <c r="D24" s="3">
        <v>433307</v>
      </c>
      <c r="E24" s="3">
        <v>76262073</v>
      </c>
      <c r="F24" s="5"/>
      <c r="G24" s="5"/>
      <c r="H24" s="3">
        <f t="shared" si="0"/>
        <v>0</v>
      </c>
      <c r="I24" s="3">
        <f t="shared" si="1"/>
        <v>0</v>
      </c>
    </row>
    <row r="25" spans="1:9" x14ac:dyDescent="0.2">
      <c r="A25" s="1" t="s">
        <v>222</v>
      </c>
      <c r="B25" s="2">
        <v>100476</v>
      </c>
      <c r="C25" s="2" t="s">
        <v>245</v>
      </c>
      <c r="D25" s="3">
        <v>530530</v>
      </c>
      <c r="E25" s="3">
        <v>93373292</v>
      </c>
      <c r="F25" s="5"/>
      <c r="G25" s="5"/>
      <c r="H25" s="3">
        <f t="shared" si="0"/>
        <v>0</v>
      </c>
      <c r="I25" s="3">
        <f t="shared" si="1"/>
        <v>0</v>
      </c>
    </row>
    <row r="26" spans="1:9" x14ac:dyDescent="0.2">
      <c r="A26" s="1" t="s">
        <v>222</v>
      </c>
      <c r="B26" s="2">
        <v>100933</v>
      </c>
      <c r="C26" s="2" t="s">
        <v>246</v>
      </c>
      <c r="D26" s="3">
        <v>398666</v>
      </c>
      <c r="E26" s="3">
        <v>70165370</v>
      </c>
      <c r="F26" s="5"/>
      <c r="G26" s="5"/>
      <c r="H26" s="3">
        <f t="shared" si="0"/>
        <v>0</v>
      </c>
      <c r="I26" s="3">
        <f t="shared" si="1"/>
        <v>0</v>
      </c>
    </row>
    <row r="27" spans="1:9" x14ac:dyDescent="0.2">
      <c r="A27" s="1" t="s">
        <v>222</v>
      </c>
      <c r="B27" s="2">
        <v>100785</v>
      </c>
      <c r="C27" s="2" t="s">
        <v>247</v>
      </c>
      <c r="D27" s="3">
        <v>445011</v>
      </c>
      <c r="E27" s="3">
        <v>78322085</v>
      </c>
      <c r="F27" s="5"/>
      <c r="G27" s="5"/>
      <c r="H27" s="3">
        <f t="shared" si="0"/>
        <v>0</v>
      </c>
      <c r="I27" s="3">
        <f t="shared" si="1"/>
        <v>0</v>
      </c>
    </row>
    <row r="28" spans="1:9" x14ac:dyDescent="0.2">
      <c r="A28" s="1" t="s">
        <v>222</v>
      </c>
      <c r="B28" s="2">
        <v>100674</v>
      </c>
      <c r="C28" s="2" t="s">
        <v>248</v>
      </c>
      <c r="D28" s="3">
        <v>479200</v>
      </c>
      <c r="E28" s="3">
        <v>84339330</v>
      </c>
      <c r="F28" s="5"/>
      <c r="G28" s="5"/>
      <c r="H28" s="3">
        <f t="shared" si="0"/>
        <v>0</v>
      </c>
      <c r="I28" s="3">
        <f t="shared" si="1"/>
        <v>0</v>
      </c>
    </row>
    <row r="29" spans="1:9" x14ac:dyDescent="0.2">
      <c r="A29" s="1" t="s">
        <v>222</v>
      </c>
      <c r="B29" s="2">
        <v>310469</v>
      </c>
      <c r="C29" s="2" t="s">
        <v>249</v>
      </c>
      <c r="D29" s="3">
        <v>344726</v>
      </c>
      <c r="E29" s="3">
        <v>60671943</v>
      </c>
      <c r="F29" s="5"/>
      <c r="G29" s="5"/>
      <c r="H29" s="3">
        <f t="shared" si="0"/>
        <v>0</v>
      </c>
      <c r="I29" s="3">
        <f t="shared" si="1"/>
        <v>0</v>
      </c>
    </row>
    <row r="30" spans="1:9" x14ac:dyDescent="0.2">
      <c r="A30" s="1" t="s">
        <v>222</v>
      </c>
      <c r="B30" s="2">
        <v>100425</v>
      </c>
      <c r="C30" s="2" t="s">
        <v>250</v>
      </c>
      <c r="D30" s="3">
        <v>460130</v>
      </c>
      <c r="E30" s="3">
        <v>80982890</v>
      </c>
      <c r="F30" s="5"/>
      <c r="G30" s="5"/>
      <c r="H30" s="3">
        <f t="shared" si="0"/>
        <v>0</v>
      </c>
      <c r="I30" s="3">
        <f t="shared" si="1"/>
        <v>0</v>
      </c>
    </row>
    <row r="31" spans="1:9" x14ac:dyDescent="0.2">
      <c r="A31" s="1" t="s">
        <v>222</v>
      </c>
      <c r="B31" s="2">
        <v>100424</v>
      </c>
      <c r="C31" s="2" t="s">
        <v>251</v>
      </c>
      <c r="D31" s="3">
        <v>499335</v>
      </c>
      <c r="E31" s="3">
        <v>87882971</v>
      </c>
      <c r="F31" s="5"/>
      <c r="G31" s="5"/>
      <c r="H31" s="3">
        <f t="shared" si="0"/>
        <v>0</v>
      </c>
      <c r="I31" s="3">
        <f t="shared" si="1"/>
        <v>0</v>
      </c>
    </row>
    <row r="32" spans="1:9" x14ac:dyDescent="0.2">
      <c r="A32" s="1" t="s">
        <v>222</v>
      </c>
      <c r="B32" s="2">
        <v>100508</v>
      </c>
      <c r="C32" s="2" t="s">
        <v>252</v>
      </c>
      <c r="D32" s="3">
        <v>452655</v>
      </c>
      <c r="E32" s="3">
        <v>79667333</v>
      </c>
      <c r="F32" s="5"/>
      <c r="G32" s="5"/>
      <c r="H32" s="3">
        <f t="shared" si="0"/>
        <v>0</v>
      </c>
      <c r="I32" s="3">
        <f t="shared" si="1"/>
        <v>0</v>
      </c>
    </row>
    <row r="33" spans="1:9" x14ac:dyDescent="0.2">
      <c r="A33" s="1" t="s">
        <v>222</v>
      </c>
      <c r="B33" s="2">
        <v>101078</v>
      </c>
      <c r="C33" s="2" t="s">
        <v>253</v>
      </c>
      <c r="D33" s="3">
        <v>492500</v>
      </c>
      <c r="E33" s="3">
        <v>86680046</v>
      </c>
      <c r="F33" s="5"/>
      <c r="G33" s="5"/>
      <c r="H33" s="3">
        <f t="shared" si="0"/>
        <v>0</v>
      </c>
      <c r="I33" s="3">
        <f t="shared" si="1"/>
        <v>0</v>
      </c>
    </row>
    <row r="34" spans="1:9" x14ac:dyDescent="0.2">
      <c r="A34" s="1" t="s">
        <v>222</v>
      </c>
      <c r="B34" s="2">
        <v>101233</v>
      </c>
      <c r="C34" s="2" t="s">
        <v>254</v>
      </c>
      <c r="D34" s="3">
        <v>431819</v>
      </c>
      <c r="E34" s="3">
        <v>76000279</v>
      </c>
      <c r="F34" s="5"/>
      <c r="G34" s="5"/>
      <c r="H34" s="3">
        <f t="shared" si="0"/>
        <v>0</v>
      </c>
      <c r="I34" s="3">
        <f t="shared" si="1"/>
        <v>0</v>
      </c>
    </row>
    <row r="35" spans="1:9" x14ac:dyDescent="0.2">
      <c r="A35" s="1" t="s">
        <v>222</v>
      </c>
      <c r="B35" s="2">
        <v>101229</v>
      </c>
      <c r="C35" s="2" t="s">
        <v>255</v>
      </c>
      <c r="D35" s="3">
        <v>434829</v>
      </c>
      <c r="E35" s="3">
        <v>76530071</v>
      </c>
      <c r="F35" s="5"/>
      <c r="G35" s="5"/>
      <c r="H35" s="3">
        <f t="shared" ref="H35:H66" si="2">F35*D35</f>
        <v>0</v>
      </c>
      <c r="I35" s="3">
        <f t="shared" ref="I35:I66" si="3">(G35*E35)/100</f>
        <v>0</v>
      </c>
    </row>
    <row r="36" spans="1:9" x14ac:dyDescent="0.2">
      <c r="A36" s="1" t="s">
        <v>222</v>
      </c>
      <c r="B36" s="2">
        <v>101565</v>
      </c>
      <c r="C36" s="2" t="s">
        <v>256</v>
      </c>
      <c r="D36" s="3">
        <v>347996</v>
      </c>
      <c r="E36" s="3">
        <v>61247301</v>
      </c>
      <c r="F36" s="5"/>
      <c r="G36" s="5"/>
      <c r="H36" s="3">
        <f t="shared" si="2"/>
        <v>0</v>
      </c>
      <c r="I36" s="3">
        <f t="shared" si="3"/>
        <v>0</v>
      </c>
    </row>
    <row r="37" spans="1:9" x14ac:dyDescent="0.2">
      <c r="A37" s="1" t="s">
        <v>222</v>
      </c>
      <c r="B37" s="2">
        <v>100962</v>
      </c>
      <c r="C37" s="2" t="s">
        <v>257</v>
      </c>
      <c r="D37" s="3">
        <v>362284</v>
      </c>
      <c r="E37" s="3">
        <v>63762116</v>
      </c>
      <c r="F37" s="5"/>
      <c r="G37" s="5"/>
      <c r="H37" s="3">
        <f t="shared" si="2"/>
        <v>0</v>
      </c>
      <c r="I37" s="3">
        <f t="shared" si="3"/>
        <v>0</v>
      </c>
    </row>
    <row r="38" spans="1:9" x14ac:dyDescent="0.2">
      <c r="A38" s="1" t="s">
        <v>222</v>
      </c>
      <c r="B38" s="2">
        <v>100724</v>
      </c>
      <c r="C38" s="2" t="s">
        <v>258</v>
      </c>
      <c r="D38" s="3">
        <v>448516</v>
      </c>
      <c r="E38" s="3">
        <v>78938966</v>
      </c>
      <c r="F38" s="5"/>
      <c r="G38" s="5"/>
      <c r="H38" s="3">
        <f t="shared" si="2"/>
        <v>0</v>
      </c>
      <c r="I38" s="3">
        <f t="shared" si="3"/>
        <v>0</v>
      </c>
    </row>
    <row r="39" spans="1:9" x14ac:dyDescent="0.2">
      <c r="A39" s="1" t="s">
        <v>222</v>
      </c>
      <c r="B39" s="2">
        <v>101523</v>
      </c>
      <c r="C39" s="2" t="s">
        <v>259</v>
      </c>
      <c r="D39" s="3">
        <v>400370</v>
      </c>
      <c r="E39" s="3">
        <v>70465145</v>
      </c>
      <c r="F39" s="5"/>
      <c r="G39" s="5"/>
      <c r="H39" s="3">
        <f t="shared" si="2"/>
        <v>0</v>
      </c>
      <c r="I39" s="3">
        <f t="shared" si="3"/>
        <v>0</v>
      </c>
    </row>
    <row r="40" spans="1:9" x14ac:dyDescent="0.2">
      <c r="A40" s="1" t="s">
        <v>222</v>
      </c>
      <c r="B40" s="2">
        <v>101343</v>
      </c>
      <c r="C40" s="2" t="s">
        <v>260</v>
      </c>
      <c r="D40" s="3">
        <v>351528</v>
      </c>
      <c r="E40" s="3">
        <v>61869011</v>
      </c>
      <c r="F40" s="5"/>
      <c r="G40" s="5"/>
      <c r="H40" s="3">
        <f t="shared" si="2"/>
        <v>0</v>
      </c>
      <c r="I40" s="3">
        <f t="shared" si="3"/>
        <v>0</v>
      </c>
    </row>
    <row r="41" spans="1:9" x14ac:dyDescent="0.2">
      <c r="A41" s="1" t="s">
        <v>222</v>
      </c>
      <c r="B41" s="2">
        <v>101461</v>
      </c>
      <c r="C41" s="2" t="s">
        <v>261</v>
      </c>
      <c r="D41" s="3">
        <v>367951</v>
      </c>
      <c r="E41" s="3">
        <v>64759526</v>
      </c>
      <c r="F41" s="5"/>
      <c r="G41" s="5"/>
      <c r="H41" s="3">
        <f t="shared" si="2"/>
        <v>0</v>
      </c>
      <c r="I41" s="3">
        <f t="shared" si="3"/>
        <v>0</v>
      </c>
    </row>
    <row r="42" spans="1:9" x14ac:dyDescent="0.2">
      <c r="A42" s="1" t="s">
        <v>222</v>
      </c>
      <c r="B42" s="2">
        <v>101570</v>
      </c>
      <c r="C42" s="2" t="s">
        <v>262</v>
      </c>
      <c r="D42" s="3">
        <v>382070</v>
      </c>
      <c r="E42" s="3">
        <v>67244405</v>
      </c>
      <c r="F42" s="5"/>
      <c r="G42" s="5"/>
      <c r="H42" s="3">
        <f t="shared" si="2"/>
        <v>0</v>
      </c>
      <c r="I42" s="3">
        <f t="shared" si="3"/>
        <v>0</v>
      </c>
    </row>
    <row r="43" spans="1:9" x14ac:dyDescent="0.2">
      <c r="A43" s="1" t="s">
        <v>222</v>
      </c>
      <c r="B43" s="2">
        <v>101416</v>
      </c>
      <c r="C43" s="2" t="s">
        <v>263</v>
      </c>
      <c r="D43" s="3">
        <v>417075</v>
      </c>
      <c r="E43" s="3">
        <v>73405289</v>
      </c>
      <c r="F43" s="5"/>
      <c r="G43" s="5"/>
      <c r="H43" s="3">
        <f t="shared" si="2"/>
        <v>0</v>
      </c>
      <c r="I43" s="3">
        <f t="shared" si="3"/>
        <v>0</v>
      </c>
    </row>
    <row r="44" spans="1:9" x14ac:dyDescent="0.2">
      <c r="A44" s="1" t="s">
        <v>222</v>
      </c>
      <c r="B44" s="2">
        <v>101883</v>
      </c>
      <c r="C44" s="2" t="s">
        <v>264</v>
      </c>
      <c r="D44" s="3">
        <v>226359</v>
      </c>
      <c r="E44" s="3">
        <v>39839250</v>
      </c>
      <c r="F44" s="5"/>
      <c r="G44" s="5"/>
      <c r="H44" s="3">
        <f t="shared" si="2"/>
        <v>0</v>
      </c>
      <c r="I44" s="3">
        <f t="shared" si="3"/>
        <v>0</v>
      </c>
    </row>
    <row r="45" spans="1:9" x14ac:dyDescent="0.2">
      <c r="A45" s="1" t="s">
        <v>222</v>
      </c>
      <c r="B45" s="2">
        <v>101088</v>
      </c>
      <c r="C45" s="2" t="s">
        <v>265</v>
      </c>
      <c r="D45" s="3">
        <v>470660</v>
      </c>
      <c r="E45" s="3">
        <v>82836172</v>
      </c>
      <c r="F45" s="5"/>
      <c r="G45" s="5"/>
      <c r="H45" s="3">
        <f t="shared" si="2"/>
        <v>0</v>
      </c>
      <c r="I45" s="3">
        <f t="shared" si="3"/>
        <v>0</v>
      </c>
    </row>
    <row r="46" spans="1:9" x14ac:dyDescent="0.2">
      <c r="A46" s="1" t="s">
        <v>222</v>
      </c>
      <c r="B46" s="2">
        <v>101249</v>
      </c>
      <c r="C46" s="2" t="s">
        <v>266</v>
      </c>
      <c r="D46" s="3">
        <v>433549</v>
      </c>
      <c r="E46" s="3">
        <v>76304781</v>
      </c>
      <c r="F46" s="5"/>
      <c r="G46" s="5"/>
      <c r="H46" s="3">
        <f t="shared" si="2"/>
        <v>0</v>
      </c>
      <c r="I46" s="3">
        <f t="shared" si="3"/>
        <v>0</v>
      </c>
    </row>
    <row r="47" spans="1:9" x14ac:dyDescent="0.2">
      <c r="A47" s="1" t="s">
        <v>222</v>
      </c>
      <c r="B47" s="2">
        <v>101948</v>
      </c>
      <c r="C47" s="2" t="s">
        <v>267</v>
      </c>
      <c r="D47" s="3">
        <v>255168</v>
      </c>
      <c r="E47" s="3">
        <v>44909700</v>
      </c>
      <c r="F47" s="5"/>
      <c r="G47" s="5"/>
      <c r="H47" s="3">
        <f t="shared" si="2"/>
        <v>0</v>
      </c>
      <c r="I47" s="3">
        <f t="shared" si="3"/>
        <v>0</v>
      </c>
    </row>
    <row r="48" spans="1:9" x14ac:dyDescent="0.2">
      <c r="A48" s="1" t="s">
        <v>222</v>
      </c>
      <c r="B48" s="2">
        <v>101108</v>
      </c>
      <c r="C48" s="2" t="s">
        <v>268</v>
      </c>
      <c r="D48" s="3">
        <v>447979</v>
      </c>
      <c r="E48" s="3">
        <v>78844334</v>
      </c>
      <c r="F48" s="5"/>
      <c r="G48" s="5"/>
      <c r="H48" s="3">
        <f t="shared" si="2"/>
        <v>0</v>
      </c>
      <c r="I48" s="3">
        <f t="shared" si="3"/>
        <v>0</v>
      </c>
    </row>
    <row r="49" spans="1:9" x14ac:dyDescent="0.2">
      <c r="A49" s="1" t="s">
        <v>222</v>
      </c>
      <c r="B49" s="2">
        <v>101748</v>
      </c>
      <c r="C49" s="2" t="s">
        <v>269</v>
      </c>
      <c r="D49" s="3">
        <v>304748</v>
      </c>
      <c r="E49" s="3">
        <v>53635703</v>
      </c>
      <c r="F49" s="5"/>
      <c r="G49" s="5"/>
      <c r="H49" s="3">
        <f t="shared" si="2"/>
        <v>0</v>
      </c>
      <c r="I49" s="3">
        <f t="shared" si="3"/>
        <v>0</v>
      </c>
    </row>
    <row r="50" spans="1:9" x14ac:dyDescent="0.2">
      <c r="A50" s="1" t="s">
        <v>222</v>
      </c>
      <c r="B50" s="2">
        <v>101093</v>
      </c>
      <c r="C50" s="2" t="s">
        <v>270</v>
      </c>
      <c r="D50" s="3">
        <v>470103</v>
      </c>
      <c r="E50" s="3">
        <v>82738145</v>
      </c>
      <c r="F50" s="5"/>
      <c r="G50" s="5"/>
      <c r="H50" s="3">
        <f t="shared" si="2"/>
        <v>0</v>
      </c>
      <c r="I50" s="3">
        <f t="shared" si="3"/>
        <v>0</v>
      </c>
    </row>
    <row r="51" spans="1:9" x14ac:dyDescent="0.2">
      <c r="A51" s="1" t="s">
        <v>222</v>
      </c>
      <c r="B51" s="2">
        <v>100361</v>
      </c>
      <c r="C51" s="2" t="s">
        <v>271</v>
      </c>
      <c r="D51" s="3">
        <v>456759</v>
      </c>
      <c r="E51" s="3">
        <v>80389712</v>
      </c>
      <c r="F51" s="5"/>
      <c r="G51" s="5"/>
      <c r="H51" s="3">
        <f t="shared" si="2"/>
        <v>0</v>
      </c>
      <c r="I51" s="3">
        <f t="shared" si="3"/>
        <v>0</v>
      </c>
    </row>
    <row r="52" spans="1:9" x14ac:dyDescent="0.2">
      <c r="A52" s="1" t="s">
        <v>222</v>
      </c>
      <c r="B52" s="2">
        <v>101295</v>
      </c>
      <c r="C52" s="2" t="s">
        <v>272</v>
      </c>
      <c r="D52" s="3">
        <v>433137</v>
      </c>
      <c r="E52" s="3">
        <v>76232215</v>
      </c>
      <c r="F52" s="5"/>
      <c r="G52" s="5"/>
      <c r="H52" s="3">
        <f t="shared" si="2"/>
        <v>0</v>
      </c>
      <c r="I52" s="3">
        <f t="shared" si="3"/>
        <v>0</v>
      </c>
    </row>
    <row r="53" spans="1:9" x14ac:dyDescent="0.2">
      <c r="A53" s="1" t="s">
        <v>222</v>
      </c>
      <c r="B53" s="2">
        <v>101524</v>
      </c>
      <c r="C53" s="2" t="s">
        <v>273</v>
      </c>
      <c r="D53" s="3">
        <v>398541</v>
      </c>
      <c r="E53" s="3">
        <v>70143383</v>
      </c>
      <c r="F53" s="5"/>
      <c r="G53" s="5"/>
      <c r="H53" s="3">
        <f t="shared" si="2"/>
        <v>0</v>
      </c>
      <c r="I53" s="3">
        <f t="shared" si="3"/>
        <v>0</v>
      </c>
    </row>
    <row r="54" spans="1:9" x14ac:dyDescent="0.2">
      <c r="A54" s="1" t="s">
        <v>222</v>
      </c>
      <c r="B54" s="2">
        <v>101504</v>
      </c>
      <c r="C54" s="2" t="s">
        <v>274</v>
      </c>
      <c r="D54" s="3">
        <v>404039</v>
      </c>
      <c r="E54" s="3">
        <v>71110882</v>
      </c>
      <c r="F54" s="5"/>
      <c r="G54" s="5"/>
      <c r="H54" s="3">
        <f t="shared" si="2"/>
        <v>0</v>
      </c>
      <c r="I54" s="3">
        <f t="shared" si="3"/>
        <v>0</v>
      </c>
    </row>
    <row r="55" spans="1:9" x14ac:dyDescent="0.2">
      <c r="A55" s="1" t="s">
        <v>222</v>
      </c>
      <c r="B55" s="2">
        <v>100690</v>
      </c>
      <c r="C55" s="2" t="s">
        <v>275</v>
      </c>
      <c r="D55" s="3">
        <v>486855</v>
      </c>
      <c r="E55" s="3">
        <v>85686598</v>
      </c>
      <c r="F55" s="5"/>
      <c r="G55" s="5"/>
      <c r="H55" s="3">
        <f t="shared" si="2"/>
        <v>0</v>
      </c>
      <c r="I55" s="3">
        <f t="shared" si="3"/>
        <v>0</v>
      </c>
    </row>
    <row r="56" spans="1:9" x14ac:dyDescent="0.2">
      <c r="A56" s="1" t="s">
        <v>222</v>
      </c>
      <c r="B56" s="2">
        <v>101347</v>
      </c>
      <c r="C56" s="2" t="s">
        <v>276</v>
      </c>
      <c r="D56" s="3">
        <v>382641</v>
      </c>
      <c r="E56" s="3">
        <v>67344894</v>
      </c>
      <c r="F56" s="5"/>
      <c r="G56" s="5"/>
      <c r="H56" s="3">
        <f t="shared" si="2"/>
        <v>0</v>
      </c>
      <c r="I56" s="3">
        <f t="shared" si="3"/>
        <v>0</v>
      </c>
    </row>
    <row r="57" spans="1:9" x14ac:dyDescent="0.2">
      <c r="A57" s="1" t="s">
        <v>222</v>
      </c>
      <c r="B57" s="2">
        <v>100857</v>
      </c>
      <c r="C57" s="2" t="s">
        <v>277</v>
      </c>
      <c r="D57" s="3">
        <v>441697</v>
      </c>
      <c r="E57" s="3">
        <v>77738732</v>
      </c>
      <c r="F57" s="5"/>
      <c r="G57" s="5"/>
      <c r="H57" s="3">
        <f t="shared" si="2"/>
        <v>0</v>
      </c>
      <c r="I57" s="3">
        <f t="shared" si="3"/>
        <v>0</v>
      </c>
    </row>
    <row r="58" spans="1:9" x14ac:dyDescent="0.2">
      <c r="A58" s="1" t="s">
        <v>222</v>
      </c>
      <c r="B58" s="2">
        <v>101238</v>
      </c>
      <c r="C58" s="2" t="s">
        <v>278</v>
      </c>
      <c r="D58" s="3">
        <v>432581</v>
      </c>
      <c r="E58" s="3">
        <v>76134332</v>
      </c>
      <c r="F58" s="5"/>
      <c r="G58" s="5"/>
      <c r="H58" s="3">
        <f t="shared" si="2"/>
        <v>0</v>
      </c>
      <c r="I58" s="3">
        <f t="shared" si="3"/>
        <v>0</v>
      </c>
    </row>
    <row r="59" spans="1:9" x14ac:dyDescent="0.2">
      <c r="A59" s="1" t="s">
        <v>222</v>
      </c>
      <c r="B59" s="2">
        <v>230253</v>
      </c>
      <c r="C59" s="2" t="s">
        <v>279</v>
      </c>
      <c r="D59" s="3">
        <v>359298</v>
      </c>
      <c r="E59" s="3">
        <v>63236610</v>
      </c>
      <c r="F59" s="5"/>
      <c r="G59" s="5"/>
      <c r="H59" s="3">
        <f t="shared" si="2"/>
        <v>0</v>
      </c>
      <c r="I59" s="3">
        <f t="shared" si="3"/>
        <v>0</v>
      </c>
    </row>
    <row r="60" spans="1:9" x14ac:dyDescent="0.2">
      <c r="A60" s="1" t="s">
        <v>222</v>
      </c>
      <c r="B60" s="2">
        <v>100230</v>
      </c>
      <c r="C60" s="2" t="s">
        <v>280</v>
      </c>
      <c r="D60" s="3">
        <v>434967</v>
      </c>
      <c r="E60" s="3">
        <v>76554350</v>
      </c>
      <c r="F60" s="5"/>
      <c r="G60" s="5"/>
      <c r="H60" s="3">
        <f t="shared" si="2"/>
        <v>0</v>
      </c>
      <c r="I60" s="3">
        <f t="shared" si="3"/>
        <v>0</v>
      </c>
    </row>
    <row r="61" spans="1:9" x14ac:dyDescent="0.2">
      <c r="A61" s="1" t="s">
        <v>222</v>
      </c>
      <c r="B61" s="2">
        <v>100388</v>
      </c>
      <c r="C61" s="2" t="s">
        <v>281</v>
      </c>
      <c r="D61" s="3">
        <v>461397</v>
      </c>
      <c r="E61" s="3">
        <v>81206016</v>
      </c>
      <c r="F61" s="5"/>
      <c r="G61" s="5"/>
      <c r="H61" s="3">
        <f t="shared" si="2"/>
        <v>0</v>
      </c>
      <c r="I61" s="3">
        <f t="shared" si="3"/>
        <v>0</v>
      </c>
    </row>
    <row r="62" spans="1:9" x14ac:dyDescent="0.2">
      <c r="A62" s="1" t="s">
        <v>222</v>
      </c>
      <c r="B62" s="2">
        <v>100839</v>
      </c>
      <c r="C62" s="2" t="s">
        <v>282</v>
      </c>
      <c r="D62" s="3">
        <v>464484</v>
      </c>
      <c r="E62" s="3">
        <v>81749300</v>
      </c>
      <c r="F62" s="5"/>
      <c r="G62" s="5"/>
      <c r="H62" s="3">
        <f t="shared" si="2"/>
        <v>0</v>
      </c>
      <c r="I62" s="3">
        <f t="shared" si="3"/>
        <v>0</v>
      </c>
    </row>
    <row r="63" spans="1:9" x14ac:dyDescent="0.2">
      <c r="A63" s="1" t="s">
        <v>222</v>
      </c>
      <c r="B63" s="2">
        <v>101520</v>
      </c>
      <c r="C63" s="2" t="s">
        <v>283</v>
      </c>
      <c r="D63" s="3">
        <v>400616</v>
      </c>
      <c r="E63" s="3">
        <v>70508570</v>
      </c>
      <c r="F63" s="5"/>
      <c r="G63" s="5"/>
      <c r="H63" s="3">
        <f t="shared" si="2"/>
        <v>0</v>
      </c>
      <c r="I63" s="3">
        <f t="shared" si="3"/>
        <v>0</v>
      </c>
    </row>
    <row r="64" spans="1:9" x14ac:dyDescent="0.2">
      <c r="A64" s="1" t="s">
        <v>222</v>
      </c>
      <c r="B64" s="2">
        <v>100443</v>
      </c>
      <c r="C64" s="2" t="s">
        <v>284</v>
      </c>
      <c r="D64" s="3">
        <v>452784</v>
      </c>
      <c r="E64" s="3">
        <v>79690080</v>
      </c>
      <c r="F64" s="5"/>
      <c r="G64" s="5"/>
      <c r="H64" s="3">
        <f t="shared" si="2"/>
        <v>0</v>
      </c>
      <c r="I64" s="3">
        <f t="shared" si="3"/>
        <v>0</v>
      </c>
    </row>
    <row r="65" spans="1:9" x14ac:dyDescent="0.2">
      <c r="A65" s="1" t="s">
        <v>222</v>
      </c>
      <c r="B65" s="2">
        <v>100207</v>
      </c>
      <c r="C65" s="2" t="s">
        <v>285</v>
      </c>
      <c r="D65" s="3">
        <v>551698</v>
      </c>
      <c r="E65" s="3">
        <v>97098962</v>
      </c>
      <c r="F65" s="5"/>
      <c r="G65" s="5"/>
      <c r="H65" s="3">
        <f t="shared" si="2"/>
        <v>0</v>
      </c>
      <c r="I65" s="3">
        <f t="shared" si="3"/>
        <v>0</v>
      </c>
    </row>
    <row r="66" spans="1:9" x14ac:dyDescent="0.2">
      <c r="A66" s="1" t="s">
        <v>222</v>
      </c>
      <c r="B66" s="2">
        <v>100451</v>
      </c>
      <c r="C66" s="2" t="s">
        <v>286</v>
      </c>
      <c r="D66" s="3">
        <v>461045</v>
      </c>
      <c r="E66" s="3">
        <v>81143956</v>
      </c>
      <c r="F66" s="5"/>
      <c r="G66" s="5"/>
      <c r="H66" s="3">
        <f t="shared" si="2"/>
        <v>0</v>
      </c>
      <c r="I66" s="3">
        <f t="shared" si="3"/>
        <v>0</v>
      </c>
    </row>
    <row r="67" spans="1:9" x14ac:dyDescent="0.2">
      <c r="A67" s="1" t="s">
        <v>222</v>
      </c>
      <c r="B67" s="2">
        <v>101253</v>
      </c>
      <c r="C67" s="2" t="s">
        <v>287</v>
      </c>
      <c r="D67" s="3">
        <v>433351</v>
      </c>
      <c r="E67" s="3">
        <v>76269950</v>
      </c>
      <c r="F67" s="5"/>
      <c r="G67" s="5"/>
      <c r="H67" s="3">
        <f t="shared" ref="H67:H91" si="4">F67*D67</f>
        <v>0</v>
      </c>
      <c r="I67" s="3">
        <f t="shared" ref="I67:I91" si="5">(G67*E67)/100</f>
        <v>0</v>
      </c>
    </row>
    <row r="68" spans="1:9" x14ac:dyDescent="0.2">
      <c r="A68" s="1" t="s">
        <v>222</v>
      </c>
      <c r="B68" s="2">
        <v>101278</v>
      </c>
      <c r="C68" s="2" t="s">
        <v>288</v>
      </c>
      <c r="D68" s="3">
        <v>432914</v>
      </c>
      <c r="E68" s="3">
        <v>76193033</v>
      </c>
      <c r="F68" s="5"/>
      <c r="G68" s="5"/>
      <c r="H68" s="3">
        <f t="shared" si="4"/>
        <v>0</v>
      </c>
      <c r="I68" s="3">
        <f t="shared" si="5"/>
        <v>0</v>
      </c>
    </row>
    <row r="69" spans="1:9" x14ac:dyDescent="0.2">
      <c r="A69" s="1" t="s">
        <v>222</v>
      </c>
      <c r="B69" s="2">
        <v>101511</v>
      </c>
      <c r="C69" s="2" t="s">
        <v>289</v>
      </c>
      <c r="D69" s="3">
        <v>237169</v>
      </c>
      <c r="E69" s="3">
        <v>41741876</v>
      </c>
      <c r="F69" s="5"/>
      <c r="G69" s="5"/>
      <c r="H69" s="3">
        <f t="shared" si="4"/>
        <v>0</v>
      </c>
      <c r="I69" s="3">
        <f t="shared" si="5"/>
        <v>0</v>
      </c>
    </row>
    <row r="70" spans="1:9" x14ac:dyDescent="0.2">
      <c r="A70" s="1" t="s">
        <v>222</v>
      </c>
      <c r="B70" s="2">
        <v>100420</v>
      </c>
      <c r="C70" s="2" t="s">
        <v>290</v>
      </c>
      <c r="D70" s="3">
        <v>530147</v>
      </c>
      <c r="E70" s="3">
        <v>93305938</v>
      </c>
      <c r="F70" s="5"/>
      <c r="G70" s="5"/>
      <c r="H70" s="3">
        <f t="shared" si="4"/>
        <v>0</v>
      </c>
      <c r="I70" s="3">
        <f t="shared" si="5"/>
        <v>0</v>
      </c>
    </row>
    <row r="71" spans="1:9" x14ac:dyDescent="0.2">
      <c r="A71" s="1" t="s">
        <v>222</v>
      </c>
      <c r="B71" s="2">
        <v>101282</v>
      </c>
      <c r="C71" s="2" t="s">
        <v>291</v>
      </c>
      <c r="D71" s="3">
        <v>432008</v>
      </c>
      <c r="E71" s="3">
        <v>76033437</v>
      </c>
      <c r="F71" s="5"/>
      <c r="G71" s="5"/>
      <c r="H71" s="3">
        <f t="shared" si="4"/>
        <v>0</v>
      </c>
      <c r="I71" s="3">
        <f t="shared" si="5"/>
        <v>0</v>
      </c>
    </row>
    <row r="72" spans="1:9" x14ac:dyDescent="0.2">
      <c r="A72" s="1" t="s">
        <v>222</v>
      </c>
      <c r="B72" s="2">
        <v>101289</v>
      </c>
      <c r="C72" s="2" t="s">
        <v>292</v>
      </c>
      <c r="D72" s="3">
        <v>425682</v>
      </c>
      <c r="E72" s="3">
        <v>74920089</v>
      </c>
      <c r="F72" s="5"/>
      <c r="G72" s="5"/>
      <c r="H72" s="3">
        <f t="shared" si="4"/>
        <v>0</v>
      </c>
      <c r="I72" s="3">
        <f t="shared" si="5"/>
        <v>0</v>
      </c>
    </row>
    <row r="73" spans="1:9" x14ac:dyDescent="0.2">
      <c r="A73" s="1" t="s">
        <v>222</v>
      </c>
      <c r="B73" s="2">
        <v>101488</v>
      </c>
      <c r="C73" s="2" t="s">
        <v>293</v>
      </c>
      <c r="D73" s="3">
        <v>366587</v>
      </c>
      <c r="E73" s="3">
        <v>64519343</v>
      </c>
      <c r="F73" s="5"/>
      <c r="G73" s="5"/>
      <c r="H73" s="3">
        <f t="shared" si="4"/>
        <v>0</v>
      </c>
      <c r="I73" s="3">
        <f t="shared" si="5"/>
        <v>0</v>
      </c>
    </row>
    <row r="74" spans="1:9" x14ac:dyDescent="0.2">
      <c r="A74" s="1" t="s">
        <v>222</v>
      </c>
      <c r="B74" s="2">
        <v>100875</v>
      </c>
      <c r="C74" s="2" t="s">
        <v>294</v>
      </c>
      <c r="D74" s="3">
        <v>517123</v>
      </c>
      <c r="E74" s="3">
        <v>91013800</v>
      </c>
      <c r="F74" s="5"/>
      <c r="G74" s="5"/>
      <c r="H74" s="3">
        <f t="shared" si="4"/>
        <v>0</v>
      </c>
      <c r="I74" s="3">
        <f t="shared" si="5"/>
        <v>0</v>
      </c>
    </row>
    <row r="75" spans="1:9" x14ac:dyDescent="0.2">
      <c r="A75" s="1" t="s">
        <v>222</v>
      </c>
      <c r="B75" s="2">
        <v>100445</v>
      </c>
      <c r="C75" s="2" t="s">
        <v>295</v>
      </c>
      <c r="D75" s="3">
        <v>423528</v>
      </c>
      <c r="E75" s="3">
        <v>74540981</v>
      </c>
      <c r="F75" s="5"/>
      <c r="G75" s="5"/>
      <c r="H75" s="3">
        <f t="shared" si="4"/>
        <v>0</v>
      </c>
      <c r="I75" s="3">
        <f t="shared" si="5"/>
        <v>0</v>
      </c>
    </row>
    <row r="76" spans="1:9" x14ac:dyDescent="0.2">
      <c r="A76" s="1" t="s">
        <v>222</v>
      </c>
      <c r="B76" s="2">
        <v>100367</v>
      </c>
      <c r="C76" s="2" t="s">
        <v>296</v>
      </c>
      <c r="D76" s="3">
        <v>503481</v>
      </c>
      <c r="E76" s="3">
        <v>88612687</v>
      </c>
      <c r="F76" s="5"/>
      <c r="G76" s="5"/>
      <c r="H76" s="3">
        <f t="shared" si="4"/>
        <v>0</v>
      </c>
      <c r="I76" s="3">
        <f t="shared" si="5"/>
        <v>0</v>
      </c>
    </row>
    <row r="77" spans="1:9" x14ac:dyDescent="0.2">
      <c r="A77" s="1" t="s">
        <v>222</v>
      </c>
      <c r="B77" s="2">
        <v>100459</v>
      </c>
      <c r="C77" s="2" t="s">
        <v>297</v>
      </c>
      <c r="D77" s="3">
        <v>544634</v>
      </c>
      <c r="E77" s="3">
        <v>95855650</v>
      </c>
      <c r="F77" s="5"/>
      <c r="G77" s="5"/>
      <c r="H77" s="3">
        <f t="shared" si="4"/>
        <v>0</v>
      </c>
      <c r="I77" s="3">
        <f t="shared" si="5"/>
        <v>0</v>
      </c>
    </row>
    <row r="78" spans="1:9" x14ac:dyDescent="0.2">
      <c r="A78" s="1" t="s">
        <v>222</v>
      </c>
      <c r="B78" s="2">
        <v>101960</v>
      </c>
      <c r="C78" s="2" t="s">
        <v>298</v>
      </c>
      <c r="D78" s="3">
        <v>226359</v>
      </c>
      <c r="E78" s="3">
        <v>39839250</v>
      </c>
      <c r="F78" s="5"/>
      <c r="G78" s="5"/>
      <c r="H78" s="3">
        <f t="shared" si="4"/>
        <v>0</v>
      </c>
      <c r="I78" s="3">
        <f t="shared" si="5"/>
        <v>0</v>
      </c>
    </row>
    <row r="79" spans="1:9" x14ac:dyDescent="0.2">
      <c r="A79" s="1" t="s">
        <v>222</v>
      </c>
      <c r="B79" s="2">
        <v>100452</v>
      </c>
      <c r="C79" s="2" t="s">
        <v>299</v>
      </c>
      <c r="D79" s="3">
        <v>468935</v>
      </c>
      <c r="E79" s="3">
        <v>82532606</v>
      </c>
      <c r="F79" s="5"/>
      <c r="G79" s="5"/>
      <c r="H79" s="3">
        <f t="shared" si="4"/>
        <v>0</v>
      </c>
      <c r="I79" s="3">
        <f t="shared" si="5"/>
        <v>0</v>
      </c>
    </row>
    <row r="80" spans="1:9" x14ac:dyDescent="0.2">
      <c r="A80" s="1" t="s">
        <v>222</v>
      </c>
      <c r="B80" s="2">
        <v>100362</v>
      </c>
      <c r="C80" s="2" t="s">
        <v>300</v>
      </c>
      <c r="D80" s="3">
        <v>491765</v>
      </c>
      <c r="E80" s="3">
        <v>86550704</v>
      </c>
      <c r="F80" s="5"/>
      <c r="G80" s="5"/>
      <c r="H80" s="3">
        <f t="shared" si="4"/>
        <v>0</v>
      </c>
      <c r="I80" s="3">
        <f t="shared" si="5"/>
        <v>0</v>
      </c>
    </row>
    <row r="81" spans="1:9" x14ac:dyDescent="0.2">
      <c r="A81" s="1" t="s">
        <v>222</v>
      </c>
      <c r="B81" s="2">
        <v>100397</v>
      </c>
      <c r="C81" s="2" t="s">
        <v>301</v>
      </c>
      <c r="D81" s="3">
        <v>507896</v>
      </c>
      <c r="E81" s="3">
        <v>89389832</v>
      </c>
      <c r="F81" s="5"/>
      <c r="G81" s="5"/>
      <c r="H81" s="3">
        <f t="shared" si="4"/>
        <v>0</v>
      </c>
      <c r="I81" s="3">
        <f t="shared" si="5"/>
        <v>0</v>
      </c>
    </row>
    <row r="82" spans="1:9" x14ac:dyDescent="0.2">
      <c r="A82" s="1" t="s">
        <v>222</v>
      </c>
      <c r="B82" s="2">
        <v>101454</v>
      </c>
      <c r="C82" s="2" t="s">
        <v>302</v>
      </c>
      <c r="D82" s="3">
        <v>384268</v>
      </c>
      <c r="E82" s="3">
        <v>67631275</v>
      </c>
      <c r="F82" s="5"/>
      <c r="G82" s="5"/>
      <c r="H82" s="3">
        <f t="shared" si="4"/>
        <v>0</v>
      </c>
      <c r="I82" s="3">
        <f t="shared" si="5"/>
        <v>0</v>
      </c>
    </row>
    <row r="83" spans="1:9" x14ac:dyDescent="0.2">
      <c r="A83" s="1" t="s">
        <v>222</v>
      </c>
      <c r="B83" s="2">
        <v>100379</v>
      </c>
      <c r="C83" s="2" t="s">
        <v>303</v>
      </c>
      <c r="D83" s="3">
        <v>463361</v>
      </c>
      <c r="E83" s="3">
        <v>81551648</v>
      </c>
      <c r="F83" s="5"/>
      <c r="G83" s="5"/>
      <c r="H83" s="3">
        <f t="shared" si="4"/>
        <v>0</v>
      </c>
      <c r="I83" s="3">
        <f t="shared" si="5"/>
        <v>0</v>
      </c>
    </row>
    <row r="84" spans="1:9" x14ac:dyDescent="0.2">
      <c r="A84" s="1" t="s">
        <v>222</v>
      </c>
      <c r="B84" s="2">
        <v>101723</v>
      </c>
      <c r="C84" s="2" t="s">
        <v>304</v>
      </c>
      <c r="D84" s="3">
        <v>344985</v>
      </c>
      <c r="E84" s="3">
        <v>60717378</v>
      </c>
      <c r="F84" s="5"/>
      <c r="G84" s="5"/>
      <c r="H84" s="3">
        <f t="shared" si="4"/>
        <v>0</v>
      </c>
      <c r="I84" s="3">
        <f t="shared" si="5"/>
        <v>0</v>
      </c>
    </row>
    <row r="85" spans="1:9" x14ac:dyDescent="0.2">
      <c r="A85" s="1" t="s">
        <v>222</v>
      </c>
      <c r="B85" s="2">
        <v>101449</v>
      </c>
      <c r="C85" s="2" t="s">
        <v>305</v>
      </c>
      <c r="D85" s="3">
        <v>426278</v>
      </c>
      <c r="E85" s="3">
        <v>75025060</v>
      </c>
      <c r="F85" s="5"/>
      <c r="G85" s="5"/>
      <c r="H85" s="3">
        <f t="shared" si="4"/>
        <v>0</v>
      </c>
      <c r="I85" s="3">
        <f t="shared" si="5"/>
        <v>0</v>
      </c>
    </row>
    <row r="86" spans="1:9" x14ac:dyDescent="0.2">
      <c r="A86" s="1" t="s">
        <v>222</v>
      </c>
      <c r="B86" s="2">
        <v>101064</v>
      </c>
      <c r="C86" s="2" t="s">
        <v>306</v>
      </c>
      <c r="D86" s="3">
        <v>294102</v>
      </c>
      <c r="E86" s="3">
        <v>51762051</v>
      </c>
      <c r="F86" s="5"/>
      <c r="G86" s="5"/>
      <c r="H86" s="3">
        <f t="shared" si="4"/>
        <v>0</v>
      </c>
      <c r="I86" s="3">
        <f t="shared" si="5"/>
        <v>0</v>
      </c>
    </row>
    <row r="87" spans="1:9" x14ac:dyDescent="0.2">
      <c r="A87" s="1" t="s">
        <v>222</v>
      </c>
      <c r="B87" s="2">
        <v>101947</v>
      </c>
      <c r="C87" s="2" t="s">
        <v>307</v>
      </c>
      <c r="D87" s="3">
        <v>255168</v>
      </c>
      <c r="E87" s="3">
        <v>44909700</v>
      </c>
      <c r="F87" s="5"/>
      <c r="G87" s="5"/>
      <c r="H87" s="3">
        <f t="shared" si="4"/>
        <v>0</v>
      </c>
      <c r="I87" s="3">
        <f t="shared" si="5"/>
        <v>0</v>
      </c>
    </row>
    <row r="88" spans="1:9" x14ac:dyDescent="0.2">
      <c r="A88" s="1" t="s">
        <v>222</v>
      </c>
      <c r="B88" s="2">
        <v>101802</v>
      </c>
      <c r="C88" s="2" t="s">
        <v>308</v>
      </c>
      <c r="D88" s="3">
        <v>281097</v>
      </c>
      <c r="E88" s="3">
        <v>49473105</v>
      </c>
      <c r="F88" s="5"/>
      <c r="G88" s="5"/>
      <c r="H88" s="3">
        <f t="shared" si="4"/>
        <v>0</v>
      </c>
      <c r="I88" s="3">
        <f t="shared" si="5"/>
        <v>0</v>
      </c>
    </row>
    <row r="89" spans="1:9" x14ac:dyDescent="0.2">
      <c r="A89" s="1" t="s">
        <v>222</v>
      </c>
      <c r="B89" s="2">
        <v>100372</v>
      </c>
      <c r="C89" s="2" t="s">
        <v>309</v>
      </c>
      <c r="D89" s="3">
        <v>457381</v>
      </c>
      <c r="E89" s="3">
        <v>80499152</v>
      </c>
      <c r="F89" s="5"/>
      <c r="G89" s="5"/>
      <c r="H89" s="3">
        <f t="shared" si="4"/>
        <v>0</v>
      </c>
      <c r="I89" s="3">
        <f t="shared" si="5"/>
        <v>0</v>
      </c>
    </row>
    <row r="90" spans="1:9" x14ac:dyDescent="0.2">
      <c r="A90" s="1" t="s">
        <v>222</v>
      </c>
      <c r="B90" s="2">
        <v>101471</v>
      </c>
      <c r="C90" s="2" t="s">
        <v>310</v>
      </c>
      <c r="D90" s="3">
        <v>425839</v>
      </c>
      <c r="E90" s="3">
        <v>74947760</v>
      </c>
      <c r="F90" s="5"/>
      <c r="G90" s="5"/>
      <c r="H90" s="3">
        <f t="shared" si="4"/>
        <v>0</v>
      </c>
      <c r="I90" s="3">
        <f t="shared" si="5"/>
        <v>0</v>
      </c>
    </row>
    <row r="91" spans="1:9" x14ac:dyDescent="0.2">
      <c r="A91" s="1" t="s">
        <v>222</v>
      </c>
      <c r="B91" s="2">
        <v>100689</v>
      </c>
      <c r="C91" s="2" t="s">
        <v>311</v>
      </c>
      <c r="D91" s="3">
        <v>450672</v>
      </c>
      <c r="E91" s="3">
        <v>79318414</v>
      </c>
      <c r="F91" s="5"/>
      <c r="G91" s="5"/>
      <c r="H91" s="3">
        <f t="shared" si="4"/>
        <v>0</v>
      </c>
      <c r="I91" s="3">
        <f t="shared" si="5"/>
        <v>0</v>
      </c>
    </row>
    <row r="92" spans="1:9" x14ac:dyDescent="0.2">
      <c r="H92" s="9">
        <f t="shared" ref="H92:I92" si="6">SUM(H3:H91)</f>
        <v>0</v>
      </c>
      <c r="I92" s="9">
        <f t="shared" si="6"/>
        <v>0</v>
      </c>
    </row>
  </sheetData>
  <mergeCells count="1">
    <mergeCell ref="A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6DAA7-AC7E-4862-B8C8-7AD336047D4D}">
  <dimension ref="A1:K37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312</v>
      </c>
      <c r="B3" s="2">
        <v>101896</v>
      </c>
      <c r="C3" s="2" t="s">
        <v>313</v>
      </c>
      <c r="D3" s="3">
        <v>226359</v>
      </c>
      <c r="E3" s="3">
        <v>39839250</v>
      </c>
      <c r="F3" s="5"/>
      <c r="G3" s="5"/>
      <c r="H3" s="3">
        <f t="shared" ref="H3:H36" si="0">F3*D3</f>
        <v>0</v>
      </c>
      <c r="I3" s="3">
        <f t="shared" ref="I3:I36" si="1">(G3*E3)/100</f>
        <v>0</v>
      </c>
    </row>
    <row r="4" spans="1:11" x14ac:dyDescent="0.2">
      <c r="A4" s="1" t="s">
        <v>312</v>
      </c>
      <c r="B4" s="2">
        <v>100742</v>
      </c>
      <c r="C4" s="2" t="s">
        <v>314</v>
      </c>
      <c r="D4" s="3">
        <v>447646</v>
      </c>
      <c r="E4" s="3">
        <v>78785705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312</v>
      </c>
      <c r="B5" s="2">
        <v>100782</v>
      </c>
      <c r="C5" s="2" t="s">
        <v>315</v>
      </c>
      <c r="D5" s="3">
        <v>473588</v>
      </c>
      <c r="E5" s="3">
        <v>83351500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312</v>
      </c>
      <c r="B6" s="2">
        <v>101479</v>
      </c>
      <c r="C6" s="2" t="s">
        <v>316</v>
      </c>
      <c r="D6" s="3">
        <v>380940</v>
      </c>
      <c r="E6" s="3">
        <v>67045496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1445161200</v>
      </c>
    </row>
    <row r="7" spans="1:11" ht="22.5" x14ac:dyDescent="0.6">
      <c r="A7" s="1" t="s">
        <v>312</v>
      </c>
      <c r="B7" s="2">
        <v>100849</v>
      </c>
      <c r="C7" s="2" t="s">
        <v>317</v>
      </c>
      <c r="D7" s="3">
        <v>473262</v>
      </c>
      <c r="E7" s="3">
        <v>83294282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1635465419</v>
      </c>
    </row>
    <row r="8" spans="1:11" x14ac:dyDescent="0.2">
      <c r="A8" s="1" t="s">
        <v>312</v>
      </c>
      <c r="B8" s="2">
        <v>100083</v>
      </c>
      <c r="C8" s="2" t="s">
        <v>318</v>
      </c>
      <c r="D8" s="3">
        <v>530229</v>
      </c>
      <c r="E8" s="3">
        <v>93320425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312</v>
      </c>
      <c r="B9" s="2">
        <v>100922</v>
      </c>
      <c r="C9" s="2" t="s">
        <v>319</v>
      </c>
      <c r="D9" s="3">
        <v>509654</v>
      </c>
      <c r="E9" s="3">
        <v>89699212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 t="s">
        <v>312</v>
      </c>
      <c r="B10" s="2">
        <v>101869</v>
      </c>
      <c r="C10" s="2" t="s">
        <v>320</v>
      </c>
      <c r="D10" s="3">
        <v>255168</v>
      </c>
      <c r="E10" s="3">
        <v>44909700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 t="s">
        <v>312</v>
      </c>
      <c r="B11" s="2">
        <v>100499</v>
      </c>
      <c r="C11" s="2" t="s">
        <v>321</v>
      </c>
      <c r="D11" s="3">
        <v>373229</v>
      </c>
      <c r="E11" s="3">
        <v>65688478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 t="s">
        <v>312</v>
      </c>
      <c r="B12" s="2">
        <v>100480</v>
      </c>
      <c r="C12" s="2" t="s">
        <v>322</v>
      </c>
      <c r="D12" s="3">
        <v>530139</v>
      </c>
      <c r="E12" s="3">
        <v>93304514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 t="s">
        <v>312</v>
      </c>
      <c r="B13" s="2">
        <v>101201</v>
      </c>
      <c r="C13" s="2" t="s">
        <v>323</v>
      </c>
      <c r="D13" s="3">
        <v>435794</v>
      </c>
      <c r="E13" s="3">
        <v>76699875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 t="s">
        <v>312</v>
      </c>
      <c r="B14" s="2">
        <v>101943</v>
      </c>
      <c r="C14" s="2" t="s">
        <v>324</v>
      </c>
      <c r="D14" s="3">
        <v>226359</v>
      </c>
      <c r="E14" s="3">
        <v>39839250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 t="s">
        <v>312</v>
      </c>
      <c r="B15" s="2">
        <v>100949</v>
      </c>
      <c r="C15" s="2" t="s">
        <v>325</v>
      </c>
      <c r="D15" s="3">
        <v>414962</v>
      </c>
      <c r="E15" s="3">
        <v>73033384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 t="s">
        <v>312</v>
      </c>
      <c r="B16" s="2">
        <v>101889</v>
      </c>
      <c r="C16" s="2" t="s">
        <v>326</v>
      </c>
      <c r="D16" s="3">
        <v>226359</v>
      </c>
      <c r="E16" s="3">
        <v>39839250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 t="s">
        <v>312</v>
      </c>
      <c r="B17" s="2">
        <v>101799</v>
      </c>
      <c r="C17" s="2" t="s">
        <v>327</v>
      </c>
      <c r="D17" s="3">
        <v>279643</v>
      </c>
      <c r="E17" s="3">
        <v>49217168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 t="s">
        <v>312</v>
      </c>
      <c r="B18" s="2">
        <v>100487</v>
      </c>
      <c r="C18" s="2" t="s">
        <v>328</v>
      </c>
      <c r="D18" s="3">
        <v>461576</v>
      </c>
      <c r="E18" s="3">
        <v>81237416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 t="s">
        <v>312</v>
      </c>
      <c r="B19" s="2">
        <v>100071</v>
      </c>
      <c r="C19" s="2" t="s">
        <v>329</v>
      </c>
      <c r="D19" s="3">
        <v>268257</v>
      </c>
      <c r="E19" s="3">
        <v>47213235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 t="s">
        <v>312</v>
      </c>
      <c r="B20" s="2">
        <v>101313</v>
      </c>
      <c r="C20" s="2" t="s">
        <v>330</v>
      </c>
      <c r="D20" s="3">
        <v>433811</v>
      </c>
      <c r="E20" s="3">
        <v>76350776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A21" s="1" t="s">
        <v>312</v>
      </c>
      <c r="B21" s="2">
        <v>101944</v>
      </c>
      <c r="C21" s="2" t="s">
        <v>331</v>
      </c>
      <c r="D21" s="3">
        <v>255168</v>
      </c>
      <c r="E21" s="3">
        <v>44909700</v>
      </c>
      <c r="F21" s="5"/>
      <c r="G21" s="5"/>
      <c r="H21" s="3">
        <f t="shared" si="0"/>
        <v>0</v>
      </c>
      <c r="I21" s="3">
        <f t="shared" si="1"/>
        <v>0</v>
      </c>
    </row>
    <row r="22" spans="1:9" x14ac:dyDescent="0.2">
      <c r="A22" s="1" t="s">
        <v>312</v>
      </c>
      <c r="B22" s="2">
        <v>100307</v>
      </c>
      <c r="C22" s="2" t="s">
        <v>332</v>
      </c>
      <c r="D22" s="3">
        <v>474058</v>
      </c>
      <c r="E22" s="3">
        <v>83434228</v>
      </c>
      <c r="F22" s="5"/>
      <c r="G22" s="5"/>
      <c r="H22" s="3">
        <f t="shared" si="0"/>
        <v>0</v>
      </c>
      <c r="I22" s="3">
        <f t="shared" si="1"/>
        <v>0</v>
      </c>
    </row>
    <row r="23" spans="1:9" x14ac:dyDescent="0.2">
      <c r="A23" s="1" t="s">
        <v>312</v>
      </c>
      <c r="B23" s="2">
        <v>101804</v>
      </c>
      <c r="C23" s="2" t="s">
        <v>333</v>
      </c>
      <c r="D23" s="3">
        <v>240830</v>
      </c>
      <c r="E23" s="3">
        <v>42386091</v>
      </c>
      <c r="F23" s="5"/>
      <c r="G23" s="5"/>
      <c r="H23" s="3">
        <f t="shared" si="0"/>
        <v>0</v>
      </c>
      <c r="I23" s="3">
        <f t="shared" si="1"/>
        <v>0</v>
      </c>
    </row>
    <row r="24" spans="1:9" x14ac:dyDescent="0.2">
      <c r="A24" s="1" t="s">
        <v>312</v>
      </c>
      <c r="B24" s="2">
        <v>100311</v>
      </c>
      <c r="C24" s="2" t="s">
        <v>334</v>
      </c>
      <c r="D24" s="3">
        <v>402300</v>
      </c>
      <c r="E24" s="3">
        <v>70804910</v>
      </c>
      <c r="F24" s="5"/>
      <c r="G24" s="5"/>
      <c r="H24" s="3">
        <f t="shared" si="0"/>
        <v>0</v>
      </c>
      <c r="I24" s="3">
        <f t="shared" si="1"/>
        <v>0</v>
      </c>
    </row>
    <row r="25" spans="1:9" x14ac:dyDescent="0.2">
      <c r="A25" s="1" t="s">
        <v>312</v>
      </c>
      <c r="B25" s="2">
        <v>101007</v>
      </c>
      <c r="C25" s="2" t="s">
        <v>335</v>
      </c>
      <c r="D25" s="3">
        <v>456237</v>
      </c>
      <c r="E25" s="3">
        <v>71661840</v>
      </c>
      <c r="F25" s="5"/>
      <c r="G25" s="5"/>
      <c r="H25" s="3">
        <f t="shared" si="0"/>
        <v>0</v>
      </c>
      <c r="I25" s="3">
        <f t="shared" si="1"/>
        <v>0</v>
      </c>
    </row>
    <row r="26" spans="1:9" x14ac:dyDescent="0.2">
      <c r="A26" s="1" t="s">
        <v>312</v>
      </c>
      <c r="B26" s="2">
        <v>100603</v>
      </c>
      <c r="C26" s="2" t="s">
        <v>336</v>
      </c>
      <c r="D26" s="3">
        <v>530229</v>
      </c>
      <c r="E26" s="3">
        <v>93320425</v>
      </c>
      <c r="F26" s="5"/>
      <c r="G26" s="5"/>
      <c r="H26" s="3">
        <f t="shared" si="0"/>
        <v>0</v>
      </c>
      <c r="I26" s="3">
        <f t="shared" si="1"/>
        <v>0</v>
      </c>
    </row>
    <row r="27" spans="1:9" x14ac:dyDescent="0.2">
      <c r="A27" s="1" t="s">
        <v>312</v>
      </c>
      <c r="B27" s="2">
        <v>515693</v>
      </c>
      <c r="C27" s="2" t="s">
        <v>337</v>
      </c>
      <c r="D27" s="3">
        <v>432975</v>
      </c>
      <c r="E27" s="3">
        <v>76203611</v>
      </c>
      <c r="F27" s="5"/>
      <c r="G27" s="5"/>
      <c r="H27" s="3">
        <f t="shared" si="0"/>
        <v>0</v>
      </c>
      <c r="I27" s="3">
        <f t="shared" si="1"/>
        <v>0</v>
      </c>
    </row>
    <row r="28" spans="1:9" x14ac:dyDescent="0.2">
      <c r="A28" s="1" t="s">
        <v>312</v>
      </c>
      <c r="B28" s="2">
        <v>101329</v>
      </c>
      <c r="C28" s="2" t="s">
        <v>338</v>
      </c>
      <c r="D28" s="3">
        <v>465231</v>
      </c>
      <c r="E28" s="3">
        <v>81880737</v>
      </c>
      <c r="F28" s="5"/>
      <c r="G28" s="5"/>
      <c r="H28" s="3">
        <f t="shared" si="0"/>
        <v>0</v>
      </c>
      <c r="I28" s="3">
        <f t="shared" si="1"/>
        <v>0</v>
      </c>
    </row>
    <row r="29" spans="1:9" x14ac:dyDescent="0.2">
      <c r="A29" s="1" t="s">
        <v>312</v>
      </c>
      <c r="B29" s="2">
        <v>100464</v>
      </c>
      <c r="C29" s="2" t="s">
        <v>339</v>
      </c>
      <c r="D29" s="3">
        <v>484299</v>
      </c>
      <c r="E29" s="3">
        <v>85236679</v>
      </c>
      <c r="F29" s="5"/>
      <c r="G29" s="5"/>
      <c r="H29" s="3">
        <f t="shared" si="0"/>
        <v>0</v>
      </c>
      <c r="I29" s="3">
        <f t="shared" si="1"/>
        <v>0</v>
      </c>
    </row>
    <row r="30" spans="1:9" x14ac:dyDescent="0.2">
      <c r="A30" s="1" t="s">
        <v>312</v>
      </c>
      <c r="B30" s="2">
        <v>100706</v>
      </c>
      <c r="C30" s="2" t="s">
        <v>340</v>
      </c>
      <c r="D30" s="3">
        <v>478930</v>
      </c>
      <c r="E30" s="3">
        <v>84291734</v>
      </c>
      <c r="F30" s="5"/>
      <c r="G30" s="5"/>
      <c r="H30" s="3">
        <f t="shared" si="0"/>
        <v>0</v>
      </c>
      <c r="I30" s="3">
        <f t="shared" si="1"/>
        <v>0</v>
      </c>
    </row>
    <row r="31" spans="1:9" x14ac:dyDescent="0.2">
      <c r="A31" s="1" t="s">
        <v>312</v>
      </c>
      <c r="B31" s="2">
        <v>101567</v>
      </c>
      <c r="C31" s="2" t="s">
        <v>341</v>
      </c>
      <c r="D31" s="3">
        <v>381167</v>
      </c>
      <c r="E31" s="3">
        <v>67085562</v>
      </c>
      <c r="F31" s="5"/>
      <c r="G31" s="5"/>
      <c r="H31" s="3">
        <f t="shared" si="0"/>
        <v>0</v>
      </c>
      <c r="I31" s="3">
        <f t="shared" si="1"/>
        <v>0</v>
      </c>
    </row>
    <row r="32" spans="1:9" x14ac:dyDescent="0.2">
      <c r="A32" s="1" t="s">
        <v>312</v>
      </c>
      <c r="B32" s="2">
        <v>101336</v>
      </c>
      <c r="C32" s="2" t="s">
        <v>342</v>
      </c>
      <c r="D32" s="3">
        <v>414128</v>
      </c>
      <c r="E32" s="3">
        <v>72886592</v>
      </c>
      <c r="F32" s="5"/>
      <c r="G32" s="5"/>
      <c r="H32" s="3">
        <f t="shared" si="0"/>
        <v>0</v>
      </c>
      <c r="I32" s="3">
        <f t="shared" si="1"/>
        <v>0</v>
      </c>
    </row>
    <row r="33" spans="1:9" x14ac:dyDescent="0.2">
      <c r="A33" s="1" t="s">
        <v>312</v>
      </c>
      <c r="B33" s="2">
        <v>101252</v>
      </c>
      <c r="C33" s="2" t="s">
        <v>343</v>
      </c>
      <c r="D33" s="3">
        <v>434419</v>
      </c>
      <c r="E33" s="3">
        <v>76457875</v>
      </c>
      <c r="F33" s="5"/>
      <c r="G33" s="5"/>
      <c r="H33" s="3">
        <f t="shared" si="0"/>
        <v>0</v>
      </c>
      <c r="I33" s="3">
        <f t="shared" si="1"/>
        <v>0</v>
      </c>
    </row>
    <row r="34" spans="1:9" x14ac:dyDescent="0.2">
      <c r="A34" s="1" t="s">
        <v>312</v>
      </c>
      <c r="B34" s="2">
        <v>100557</v>
      </c>
      <c r="C34" s="2" t="s">
        <v>344</v>
      </c>
      <c r="D34" s="3">
        <v>460545</v>
      </c>
      <c r="E34" s="3">
        <v>81056042</v>
      </c>
      <c r="F34" s="5"/>
      <c r="G34" s="5"/>
      <c r="H34" s="3">
        <f t="shared" si="0"/>
        <v>0</v>
      </c>
      <c r="I34" s="3">
        <f t="shared" si="1"/>
        <v>0</v>
      </c>
    </row>
    <row r="35" spans="1:9" x14ac:dyDescent="0.2">
      <c r="A35" s="1" t="s">
        <v>312</v>
      </c>
      <c r="B35" s="2">
        <v>100685</v>
      </c>
      <c r="C35" s="2" t="s">
        <v>345</v>
      </c>
      <c r="D35" s="3">
        <v>449712</v>
      </c>
      <c r="E35" s="3">
        <v>79149422</v>
      </c>
      <c r="F35" s="5"/>
      <c r="G35" s="5"/>
      <c r="H35" s="3">
        <f t="shared" si="0"/>
        <v>0</v>
      </c>
      <c r="I35" s="3">
        <f t="shared" si="1"/>
        <v>0</v>
      </c>
    </row>
    <row r="36" spans="1:9" x14ac:dyDescent="0.2">
      <c r="A36" s="1" t="s">
        <v>312</v>
      </c>
      <c r="B36" s="2">
        <v>101069</v>
      </c>
      <c r="C36" s="2" t="s">
        <v>346</v>
      </c>
      <c r="D36" s="3">
        <v>456237</v>
      </c>
      <c r="E36" s="3">
        <v>71661840</v>
      </c>
      <c r="F36" s="5"/>
      <c r="G36" s="5"/>
      <c r="H36" s="3">
        <f t="shared" si="0"/>
        <v>0</v>
      </c>
      <c r="I36" s="3">
        <f t="shared" si="1"/>
        <v>0</v>
      </c>
    </row>
    <row r="37" spans="1:9" x14ac:dyDescent="0.2">
      <c r="H37" s="9">
        <f t="shared" ref="H37:I37" si="2">SUM(H3:H36)</f>
        <v>0</v>
      </c>
      <c r="I37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0BA4-4E13-4132-8377-419EC9A14E27}">
  <dimension ref="A1:K21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>
        <v>1619</v>
      </c>
      <c r="B3" s="2">
        <v>101732</v>
      </c>
      <c r="C3" s="2" t="s">
        <v>347</v>
      </c>
      <c r="D3" s="3">
        <v>383500</v>
      </c>
      <c r="E3" s="3">
        <v>67496027</v>
      </c>
      <c r="F3" s="5"/>
      <c r="G3" s="5"/>
      <c r="H3" s="3">
        <f t="shared" ref="H3:H20" si="0">F3*D3</f>
        <v>0</v>
      </c>
      <c r="I3" s="3">
        <f t="shared" ref="I3:I20" si="1">(G3*E3)/100</f>
        <v>0</v>
      </c>
    </row>
    <row r="4" spans="1:11" x14ac:dyDescent="0.2">
      <c r="A4" s="1">
        <v>1619</v>
      </c>
      <c r="B4" s="2">
        <v>101467</v>
      </c>
      <c r="C4" s="2" t="s">
        <v>348</v>
      </c>
      <c r="D4" s="3">
        <v>430650</v>
      </c>
      <c r="E4" s="3">
        <v>75794557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>
        <v>1619</v>
      </c>
      <c r="B5" s="2">
        <v>101945</v>
      </c>
      <c r="C5" s="2" t="s">
        <v>349</v>
      </c>
      <c r="D5" s="3">
        <v>226359</v>
      </c>
      <c r="E5" s="3">
        <v>39839250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>
        <v>1619</v>
      </c>
      <c r="B6" s="2">
        <v>101537</v>
      </c>
      <c r="C6" s="2" t="s">
        <v>350</v>
      </c>
      <c r="D6" s="3">
        <v>407060</v>
      </c>
      <c r="E6" s="3">
        <v>71642573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784750680</v>
      </c>
    </row>
    <row r="7" spans="1:11" ht="22.5" x14ac:dyDescent="0.6">
      <c r="A7" s="1">
        <v>1619</v>
      </c>
      <c r="B7" s="2">
        <v>101388</v>
      </c>
      <c r="C7" s="2" t="s">
        <v>351</v>
      </c>
      <c r="D7" s="3">
        <v>432305</v>
      </c>
      <c r="E7" s="3">
        <v>76085695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894467250</v>
      </c>
    </row>
    <row r="8" spans="1:11" x14ac:dyDescent="0.2">
      <c r="A8" s="1">
        <v>1619</v>
      </c>
      <c r="B8" s="2">
        <v>100931</v>
      </c>
      <c r="C8" s="2" t="s">
        <v>352</v>
      </c>
      <c r="D8" s="3">
        <v>427860</v>
      </c>
      <c r="E8" s="3">
        <v>75303426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>
        <v>1619</v>
      </c>
      <c r="B9" s="2">
        <v>101260</v>
      </c>
      <c r="C9" s="2" t="s">
        <v>353</v>
      </c>
      <c r="D9" s="3">
        <v>442434</v>
      </c>
      <c r="E9" s="3">
        <v>77868385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>
        <v>1619</v>
      </c>
      <c r="B10" s="2">
        <v>100828</v>
      </c>
      <c r="C10" s="2" t="s">
        <v>354</v>
      </c>
      <c r="D10" s="3">
        <v>451953</v>
      </c>
      <c r="E10" s="3">
        <v>79543858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>
        <v>1619</v>
      </c>
      <c r="B11" s="2">
        <v>100460</v>
      </c>
      <c r="C11" s="2" t="s">
        <v>355</v>
      </c>
      <c r="D11" s="3">
        <v>510707</v>
      </c>
      <c r="E11" s="3">
        <v>89884603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>
        <v>1619</v>
      </c>
      <c r="B12" s="2">
        <v>101540</v>
      </c>
      <c r="C12" s="2" t="s">
        <v>356</v>
      </c>
      <c r="D12" s="3">
        <v>403153</v>
      </c>
      <c r="E12" s="3">
        <v>70955002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>
        <v>1619</v>
      </c>
      <c r="B13" s="2">
        <v>100853</v>
      </c>
      <c r="C13" s="2" t="s">
        <v>357</v>
      </c>
      <c r="D13" s="3">
        <v>513359</v>
      </c>
      <c r="E13" s="3">
        <v>90351196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>
        <v>1619</v>
      </c>
      <c r="B14" s="2">
        <v>101803</v>
      </c>
      <c r="C14" s="2" t="s">
        <v>358</v>
      </c>
      <c r="D14" s="3">
        <v>325833</v>
      </c>
      <c r="E14" s="3">
        <v>57346628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>
        <v>1619</v>
      </c>
      <c r="B15" s="2">
        <v>101539</v>
      </c>
      <c r="C15" s="2" t="s">
        <v>359</v>
      </c>
      <c r="D15" s="3">
        <v>407077</v>
      </c>
      <c r="E15" s="3">
        <v>71645621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>
        <v>1619</v>
      </c>
      <c r="B16" s="2">
        <v>101215</v>
      </c>
      <c r="C16" s="2" t="s">
        <v>360</v>
      </c>
      <c r="D16" s="3">
        <v>420806</v>
      </c>
      <c r="E16" s="3">
        <v>74061974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>
        <v>1619</v>
      </c>
      <c r="B17" s="2">
        <v>100238</v>
      </c>
      <c r="C17" s="2" t="s">
        <v>361</v>
      </c>
      <c r="D17" s="3">
        <v>538460</v>
      </c>
      <c r="E17" s="3">
        <v>94769125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>
        <v>1619</v>
      </c>
      <c r="B18" s="2">
        <v>100781</v>
      </c>
      <c r="C18" s="2" t="s">
        <v>362</v>
      </c>
      <c r="D18" s="3">
        <v>483664</v>
      </c>
      <c r="E18" s="3">
        <v>85124928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>
        <v>1619</v>
      </c>
      <c r="B19" s="2">
        <v>101218</v>
      </c>
      <c r="C19" s="2" t="s">
        <v>363</v>
      </c>
      <c r="D19" s="3">
        <v>413468</v>
      </c>
      <c r="E19" s="3">
        <v>72770467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>
        <v>1619</v>
      </c>
      <c r="B20" s="2">
        <v>101954</v>
      </c>
      <c r="C20" s="2" t="s">
        <v>364</v>
      </c>
      <c r="D20" s="3">
        <v>255168</v>
      </c>
      <c r="E20" s="3">
        <v>44909700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H21" s="9">
        <f t="shared" ref="H21:I21" si="2">SUM(H3:H20)</f>
        <v>0</v>
      </c>
      <c r="I21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1338C-BF38-4229-97D3-7FCF79DE57F5}">
  <dimension ref="A1:K21"/>
  <sheetViews>
    <sheetView rightToLeft="1" zoomScaleNormal="100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>
        <v>1615</v>
      </c>
      <c r="B3" s="2">
        <v>101731</v>
      </c>
      <c r="C3" s="2" t="s">
        <v>365</v>
      </c>
      <c r="D3" s="3">
        <v>382814</v>
      </c>
      <c r="E3" s="3">
        <v>67375302</v>
      </c>
      <c r="F3" s="5"/>
      <c r="G3" s="5"/>
      <c r="H3" s="3">
        <f t="shared" ref="H3:H20" si="0">F3*D3</f>
        <v>0</v>
      </c>
      <c r="I3" s="3">
        <f t="shared" ref="I3:I20" si="1">(G3*E3)/100</f>
        <v>0</v>
      </c>
    </row>
    <row r="4" spans="1:11" x14ac:dyDescent="0.2">
      <c r="A4" s="1">
        <v>1615</v>
      </c>
      <c r="B4" s="2">
        <v>101163</v>
      </c>
      <c r="C4" s="2" t="s">
        <v>366</v>
      </c>
      <c r="D4" s="3">
        <v>433394</v>
      </c>
      <c r="E4" s="3">
        <v>76277349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>
        <v>1615</v>
      </c>
      <c r="B5" s="2">
        <v>101436</v>
      </c>
      <c r="C5" s="2" t="s">
        <v>367</v>
      </c>
      <c r="D5" s="3">
        <v>407471</v>
      </c>
      <c r="E5" s="3">
        <v>71714936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>
        <v>1615</v>
      </c>
      <c r="B6" s="2">
        <v>100786</v>
      </c>
      <c r="C6" s="2" t="s">
        <v>368</v>
      </c>
      <c r="D6" s="3">
        <v>481797</v>
      </c>
      <c r="E6" s="3">
        <v>84796340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765561096</v>
      </c>
    </row>
    <row r="7" spans="1:11" ht="22.5" x14ac:dyDescent="0.6">
      <c r="A7" s="1">
        <v>1615</v>
      </c>
      <c r="B7" s="2">
        <v>100403</v>
      </c>
      <c r="C7" s="2" t="s">
        <v>369</v>
      </c>
      <c r="D7" s="3">
        <v>513807</v>
      </c>
      <c r="E7" s="3">
        <v>90430195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876456784</v>
      </c>
    </row>
    <row r="8" spans="1:11" x14ac:dyDescent="0.2">
      <c r="A8" s="1">
        <v>1615</v>
      </c>
      <c r="B8" s="2">
        <v>101190</v>
      </c>
      <c r="C8" s="2" t="s">
        <v>370</v>
      </c>
      <c r="D8" s="3">
        <v>413319</v>
      </c>
      <c r="E8" s="3">
        <v>72744302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>
        <v>1615</v>
      </c>
      <c r="B9" s="2">
        <v>101271</v>
      </c>
      <c r="C9" s="2" t="s">
        <v>371</v>
      </c>
      <c r="D9" s="3">
        <v>442379</v>
      </c>
      <c r="E9" s="3">
        <v>77858835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>
        <v>1615</v>
      </c>
      <c r="B10" s="2">
        <v>101917</v>
      </c>
      <c r="C10" s="2" t="s">
        <v>372</v>
      </c>
      <c r="D10" s="3">
        <v>273689</v>
      </c>
      <c r="E10" s="3">
        <v>48169275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>
        <v>1615</v>
      </c>
      <c r="B11" s="2">
        <v>101248</v>
      </c>
      <c r="C11" s="2" t="s">
        <v>373</v>
      </c>
      <c r="D11" s="3">
        <v>411640</v>
      </c>
      <c r="E11" s="3">
        <v>72448705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>
        <v>1615</v>
      </c>
      <c r="B12" s="2">
        <v>100997</v>
      </c>
      <c r="C12" s="2" t="s">
        <v>374</v>
      </c>
      <c r="D12" s="3">
        <v>370461</v>
      </c>
      <c r="E12" s="3">
        <v>65201158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>
        <v>1615</v>
      </c>
      <c r="B13" s="2">
        <v>100880</v>
      </c>
      <c r="C13" s="2" t="s">
        <v>375</v>
      </c>
      <c r="D13" s="3">
        <v>514310</v>
      </c>
      <c r="E13" s="3">
        <v>90518564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>
        <v>1615</v>
      </c>
      <c r="B14" s="2">
        <v>100592</v>
      </c>
      <c r="C14" s="2" t="s">
        <v>376</v>
      </c>
      <c r="D14" s="3">
        <v>528229</v>
      </c>
      <c r="E14" s="3">
        <v>92968468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>
        <v>1615</v>
      </c>
      <c r="B15" s="2">
        <v>101897</v>
      </c>
      <c r="C15" s="2" t="s">
        <v>377</v>
      </c>
      <c r="D15" s="3">
        <v>226359</v>
      </c>
      <c r="E15" s="3">
        <v>39839250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>
        <v>1615</v>
      </c>
      <c r="B16" s="2">
        <v>100522</v>
      </c>
      <c r="C16" s="2" t="s">
        <v>378</v>
      </c>
      <c r="D16" s="3">
        <v>436559</v>
      </c>
      <c r="E16" s="3">
        <v>76834432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>
        <v>1615</v>
      </c>
      <c r="B17" s="2">
        <v>101423</v>
      </c>
      <c r="C17" s="2" t="s">
        <v>379</v>
      </c>
      <c r="D17" s="3">
        <v>428396</v>
      </c>
      <c r="E17" s="3">
        <v>75397790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>
        <v>1615</v>
      </c>
      <c r="B18" s="2">
        <v>101761</v>
      </c>
      <c r="C18" s="2" t="s">
        <v>380</v>
      </c>
      <c r="D18" s="3">
        <v>336932</v>
      </c>
      <c r="E18" s="3">
        <v>59300120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>
        <v>1615</v>
      </c>
      <c r="B19" s="2">
        <v>101087</v>
      </c>
      <c r="C19" s="2" t="s">
        <v>381</v>
      </c>
      <c r="D19" s="3">
        <v>449477</v>
      </c>
      <c r="E19" s="3">
        <v>79108004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>
        <v>1615</v>
      </c>
      <c r="B20" s="2">
        <v>101334</v>
      </c>
      <c r="C20" s="2" t="s">
        <v>382</v>
      </c>
      <c r="D20" s="3">
        <v>381599</v>
      </c>
      <c r="E20" s="3">
        <v>67161428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H21" s="9">
        <f t="shared" ref="H21:I21" si="2">SUM(H3:H20)</f>
        <v>0</v>
      </c>
      <c r="I21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B9170-65AA-44CD-B7ED-C37105F4F0DA}">
  <dimension ref="A1:K44"/>
  <sheetViews>
    <sheetView rightToLeft="1" topLeftCell="A13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383</v>
      </c>
      <c r="B3" s="2">
        <v>100906</v>
      </c>
      <c r="C3" s="2" t="s">
        <v>384</v>
      </c>
      <c r="D3" s="3">
        <v>456237</v>
      </c>
      <c r="E3" s="3">
        <v>71661840</v>
      </c>
      <c r="F3" s="5"/>
      <c r="G3" s="5"/>
      <c r="H3" s="3">
        <f t="shared" ref="H3:H43" si="0">F3*D3</f>
        <v>0</v>
      </c>
      <c r="I3" s="3">
        <f t="shared" ref="I3:I43" si="1">(G3*E3)/100</f>
        <v>0</v>
      </c>
    </row>
    <row r="4" spans="1:11" x14ac:dyDescent="0.2">
      <c r="A4" s="1" t="s">
        <v>383</v>
      </c>
      <c r="B4" s="2">
        <v>42415</v>
      </c>
      <c r="C4" s="2" t="s">
        <v>385</v>
      </c>
      <c r="D4" s="3">
        <v>350035</v>
      </c>
      <c r="E4" s="3">
        <v>61606189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383</v>
      </c>
      <c r="B5" s="2">
        <v>101890</v>
      </c>
      <c r="C5" s="2" t="s">
        <v>386</v>
      </c>
      <c r="D5" s="3">
        <v>226359</v>
      </c>
      <c r="E5" s="3">
        <v>39839250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383</v>
      </c>
      <c r="B6" s="2">
        <v>100925</v>
      </c>
      <c r="C6" s="2" t="s">
        <v>387</v>
      </c>
      <c r="D6" s="3">
        <v>379033</v>
      </c>
      <c r="E6" s="3">
        <v>66709928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1746813705</v>
      </c>
    </row>
    <row r="7" spans="1:11" ht="22.5" x14ac:dyDescent="0.6">
      <c r="A7" s="1" t="s">
        <v>383</v>
      </c>
      <c r="B7" s="2">
        <v>101887</v>
      </c>
      <c r="C7" s="2" t="s">
        <v>388</v>
      </c>
      <c r="D7" s="3">
        <v>226359</v>
      </c>
      <c r="E7" s="3">
        <v>39839250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1973419947</v>
      </c>
    </row>
    <row r="8" spans="1:11" x14ac:dyDescent="0.2">
      <c r="A8" s="1" t="s">
        <v>383</v>
      </c>
      <c r="B8" s="2">
        <v>101264</v>
      </c>
      <c r="C8" s="2" t="s">
        <v>389</v>
      </c>
      <c r="D8" s="3">
        <v>434876</v>
      </c>
      <c r="E8" s="3">
        <v>76538223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383</v>
      </c>
      <c r="B9" s="2">
        <v>100370</v>
      </c>
      <c r="C9" s="2" t="s">
        <v>390</v>
      </c>
      <c r="D9" s="3">
        <v>508704</v>
      </c>
      <c r="E9" s="3">
        <v>89532024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 t="s">
        <v>383</v>
      </c>
      <c r="B10" s="2">
        <v>100432</v>
      </c>
      <c r="C10" s="2" t="s">
        <v>391</v>
      </c>
      <c r="D10" s="3">
        <v>494316</v>
      </c>
      <c r="E10" s="3">
        <v>86999621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 t="s">
        <v>383</v>
      </c>
      <c r="B11" s="2">
        <v>100792</v>
      </c>
      <c r="C11" s="2" t="s">
        <v>392</v>
      </c>
      <c r="D11" s="3">
        <v>399001</v>
      </c>
      <c r="E11" s="3">
        <v>70224258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 t="s">
        <v>383</v>
      </c>
      <c r="B12" s="2">
        <v>101262</v>
      </c>
      <c r="C12" s="2" t="s">
        <v>393</v>
      </c>
      <c r="D12" s="3">
        <v>385307</v>
      </c>
      <c r="E12" s="3">
        <v>67814096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 t="s">
        <v>383</v>
      </c>
      <c r="B13" s="2">
        <v>101269</v>
      </c>
      <c r="C13" s="2" t="s">
        <v>394</v>
      </c>
      <c r="D13" s="3">
        <v>433500</v>
      </c>
      <c r="E13" s="3">
        <v>76296115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 t="s">
        <v>383</v>
      </c>
      <c r="B14" s="2">
        <v>100798</v>
      </c>
      <c r="C14" s="2" t="s">
        <v>395</v>
      </c>
      <c r="D14" s="3">
        <v>485653</v>
      </c>
      <c r="E14" s="3">
        <v>85475029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 t="s">
        <v>383</v>
      </c>
      <c r="B15" s="2">
        <v>100382</v>
      </c>
      <c r="C15" s="2" t="s">
        <v>396</v>
      </c>
      <c r="D15" s="3">
        <v>337490</v>
      </c>
      <c r="E15" s="3">
        <v>59398308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 t="s">
        <v>383</v>
      </c>
      <c r="B16" s="2">
        <v>100318</v>
      </c>
      <c r="C16" s="2" t="s">
        <v>397</v>
      </c>
      <c r="D16" s="3">
        <v>502387</v>
      </c>
      <c r="E16" s="3">
        <v>88420195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 t="s">
        <v>383</v>
      </c>
      <c r="B17" s="2">
        <v>101893</v>
      </c>
      <c r="C17" s="2" t="s">
        <v>398</v>
      </c>
      <c r="D17" s="3">
        <v>226359</v>
      </c>
      <c r="E17" s="3">
        <v>39839250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 t="s">
        <v>383</v>
      </c>
      <c r="B18" s="2">
        <v>100872</v>
      </c>
      <c r="C18" s="2" t="s">
        <v>399</v>
      </c>
      <c r="D18" s="3">
        <v>449469</v>
      </c>
      <c r="E18" s="3">
        <v>79106642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 t="s">
        <v>383</v>
      </c>
      <c r="B19" s="2">
        <v>101770</v>
      </c>
      <c r="C19" s="2" t="s">
        <v>400</v>
      </c>
      <c r="D19" s="3">
        <v>301894</v>
      </c>
      <c r="E19" s="3">
        <v>53133487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 t="s">
        <v>383</v>
      </c>
      <c r="B20" s="2">
        <v>100593</v>
      </c>
      <c r="C20" s="2" t="s">
        <v>401</v>
      </c>
      <c r="D20" s="3">
        <v>443624</v>
      </c>
      <c r="E20" s="3">
        <v>78077862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A21" s="1" t="s">
        <v>383</v>
      </c>
      <c r="B21" s="2">
        <v>101243</v>
      </c>
      <c r="C21" s="2" t="s">
        <v>402</v>
      </c>
      <c r="D21" s="3">
        <v>446954</v>
      </c>
      <c r="E21" s="3">
        <v>78664011</v>
      </c>
      <c r="F21" s="5"/>
      <c r="G21" s="5"/>
      <c r="H21" s="3">
        <f t="shared" si="0"/>
        <v>0</v>
      </c>
      <c r="I21" s="3">
        <f t="shared" si="1"/>
        <v>0</v>
      </c>
    </row>
    <row r="22" spans="1:9" x14ac:dyDescent="0.2">
      <c r="A22" s="1" t="s">
        <v>383</v>
      </c>
      <c r="B22" s="2">
        <v>101734</v>
      </c>
      <c r="C22" s="2" t="s">
        <v>403</v>
      </c>
      <c r="D22" s="3">
        <v>381422</v>
      </c>
      <c r="E22" s="3">
        <v>67130290</v>
      </c>
      <c r="F22" s="5"/>
      <c r="G22" s="5"/>
      <c r="H22" s="3">
        <f t="shared" si="0"/>
        <v>0</v>
      </c>
      <c r="I22" s="3">
        <f t="shared" si="1"/>
        <v>0</v>
      </c>
    </row>
    <row r="23" spans="1:9" x14ac:dyDescent="0.2">
      <c r="A23" s="1" t="s">
        <v>383</v>
      </c>
      <c r="B23" s="2">
        <v>101722</v>
      </c>
      <c r="C23" s="2" t="s">
        <v>404</v>
      </c>
      <c r="D23" s="3">
        <v>380043</v>
      </c>
      <c r="E23" s="3">
        <v>66887573</v>
      </c>
      <c r="F23" s="5"/>
      <c r="G23" s="5"/>
      <c r="H23" s="3">
        <f t="shared" si="0"/>
        <v>0</v>
      </c>
      <c r="I23" s="3">
        <f t="shared" si="1"/>
        <v>0</v>
      </c>
    </row>
    <row r="24" spans="1:9" x14ac:dyDescent="0.2">
      <c r="A24" s="1" t="s">
        <v>383</v>
      </c>
      <c r="B24" s="2">
        <v>100332</v>
      </c>
      <c r="C24" s="2" t="s">
        <v>405</v>
      </c>
      <c r="D24" s="3">
        <v>454762</v>
      </c>
      <c r="E24" s="3">
        <v>80038115</v>
      </c>
      <c r="F24" s="5"/>
      <c r="G24" s="5"/>
      <c r="H24" s="3">
        <f t="shared" si="0"/>
        <v>0</v>
      </c>
      <c r="I24" s="3">
        <f t="shared" si="1"/>
        <v>0</v>
      </c>
    </row>
    <row r="25" spans="1:9" x14ac:dyDescent="0.2">
      <c r="A25" s="1" t="s">
        <v>383</v>
      </c>
      <c r="B25" s="2">
        <v>100672</v>
      </c>
      <c r="C25" s="2" t="s">
        <v>406</v>
      </c>
      <c r="D25" s="3">
        <v>519508</v>
      </c>
      <c r="E25" s="3">
        <v>91433514</v>
      </c>
      <c r="F25" s="5"/>
      <c r="G25" s="5"/>
      <c r="H25" s="3">
        <f t="shared" si="0"/>
        <v>0</v>
      </c>
      <c r="I25" s="3">
        <f t="shared" si="1"/>
        <v>0</v>
      </c>
    </row>
    <row r="26" spans="1:9" x14ac:dyDescent="0.2">
      <c r="A26" s="1" t="s">
        <v>383</v>
      </c>
      <c r="B26" s="2">
        <v>101959</v>
      </c>
      <c r="C26" s="2" t="s">
        <v>407</v>
      </c>
      <c r="D26" s="3">
        <v>255168</v>
      </c>
      <c r="E26" s="3">
        <v>44909700</v>
      </c>
      <c r="F26" s="5"/>
      <c r="G26" s="5"/>
      <c r="H26" s="3">
        <f t="shared" si="0"/>
        <v>0</v>
      </c>
      <c r="I26" s="3">
        <f t="shared" si="1"/>
        <v>0</v>
      </c>
    </row>
    <row r="27" spans="1:9" x14ac:dyDescent="0.2">
      <c r="A27" s="1" t="s">
        <v>383</v>
      </c>
      <c r="B27" s="2">
        <v>101390</v>
      </c>
      <c r="C27" s="2" t="s">
        <v>408</v>
      </c>
      <c r="D27" s="3">
        <v>390176</v>
      </c>
      <c r="E27" s="3">
        <v>68671124</v>
      </c>
      <c r="F27" s="5"/>
      <c r="G27" s="5"/>
      <c r="H27" s="3">
        <f t="shared" si="0"/>
        <v>0</v>
      </c>
      <c r="I27" s="3">
        <f t="shared" si="1"/>
        <v>0</v>
      </c>
    </row>
    <row r="28" spans="1:9" x14ac:dyDescent="0.2">
      <c r="A28" s="1" t="s">
        <v>383</v>
      </c>
      <c r="B28" s="2">
        <v>101148</v>
      </c>
      <c r="C28" s="2" t="s">
        <v>409</v>
      </c>
      <c r="D28" s="3">
        <v>416198</v>
      </c>
      <c r="E28" s="3">
        <v>73250905</v>
      </c>
      <c r="F28" s="5"/>
      <c r="G28" s="5"/>
      <c r="H28" s="3">
        <f t="shared" si="0"/>
        <v>0</v>
      </c>
      <c r="I28" s="3">
        <f t="shared" si="1"/>
        <v>0</v>
      </c>
    </row>
    <row r="29" spans="1:9" x14ac:dyDescent="0.2">
      <c r="A29" s="1" t="s">
        <v>383</v>
      </c>
      <c r="B29" s="2">
        <v>100714</v>
      </c>
      <c r="C29" s="2" t="s">
        <v>410</v>
      </c>
      <c r="D29" s="3">
        <v>448243</v>
      </c>
      <c r="E29" s="3">
        <v>78890843</v>
      </c>
      <c r="F29" s="5"/>
      <c r="G29" s="5"/>
      <c r="H29" s="3">
        <f t="shared" si="0"/>
        <v>0</v>
      </c>
      <c r="I29" s="3">
        <f t="shared" si="1"/>
        <v>0</v>
      </c>
    </row>
    <row r="30" spans="1:9" x14ac:dyDescent="0.2">
      <c r="A30" s="1" t="s">
        <v>383</v>
      </c>
      <c r="B30" s="2">
        <v>100589</v>
      </c>
      <c r="C30" s="2" t="s">
        <v>411</v>
      </c>
      <c r="D30" s="3">
        <v>486800</v>
      </c>
      <c r="E30" s="3">
        <v>85676940</v>
      </c>
      <c r="F30" s="5"/>
      <c r="G30" s="5"/>
      <c r="H30" s="3">
        <f t="shared" si="0"/>
        <v>0</v>
      </c>
      <c r="I30" s="3">
        <f t="shared" si="1"/>
        <v>0</v>
      </c>
    </row>
    <row r="31" spans="1:9" x14ac:dyDescent="0.2">
      <c r="A31" s="1" t="s">
        <v>383</v>
      </c>
      <c r="B31" s="2">
        <v>101008</v>
      </c>
      <c r="C31" s="2" t="s">
        <v>412</v>
      </c>
      <c r="D31" s="3">
        <v>456237</v>
      </c>
      <c r="E31" s="3">
        <v>71661840</v>
      </c>
      <c r="F31" s="5"/>
      <c r="G31" s="5"/>
      <c r="H31" s="3">
        <f t="shared" si="0"/>
        <v>0</v>
      </c>
      <c r="I31" s="3">
        <f t="shared" si="1"/>
        <v>0</v>
      </c>
    </row>
    <row r="32" spans="1:9" x14ac:dyDescent="0.2">
      <c r="A32" s="1" t="s">
        <v>383</v>
      </c>
      <c r="B32" s="2">
        <v>101371</v>
      </c>
      <c r="C32" s="2" t="s">
        <v>413</v>
      </c>
      <c r="D32" s="3">
        <v>411731</v>
      </c>
      <c r="E32" s="3">
        <v>72464698</v>
      </c>
      <c r="F32" s="5"/>
      <c r="G32" s="5"/>
      <c r="H32" s="3">
        <f t="shared" si="0"/>
        <v>0</v>
      </c>
      <c r="I32" s="3">
        <f t="shared" si="1"/>
        <v>0</v>
      </c>
    </row>
    <row r="33" spans="1:9" x14ac:dyDescent="0.2">
      <c r="A33" s="1" t="s">
        <v>383</v>
      </c>
      <c r="B33" s="2">
        <v>101891</v>
      </c>
      <c r="C33" s="2" t="s">
        <v>414</v>
      </c>
      <c r="D33" s="3">
        <v>226359</v>
      </c>
      <c r="E33" s="3">
        <v>39839250</v>
      </c>
      <c r="F33" s="5"/>
      <c r="G33" s="5"/>
      <c r="H33" s="3">
        <f t="shared" si="0"/>
        <v>0</v>
      </c>
      <c r="I33" s="3">
        <f t="shared" si="1"/>
        <v>0</v>
      </c>
    </row>
    <row r="34" spans="1:9" x14ac:dyDescent="0.2">
      <c r="A34" s="1" t="s">
        <v>383</v>
      </c>
      <c r="B34" s="2">
        <v>101146</v>
      </c>
      <c r="C34" s="2" t="s">
        <v>415</v>
      </c>
      <c r="D34" s="3">
        <v>474063</v>
      </c>
      <c r="E34" s="3">
        <v>83435171</v>
      </c>
      <c r="F34" s="5"/>
      <c r="G34" s="5"/>
      <c r="H34" s="3">
        <f t="shared" si="0"/>
        <v>0</v>
      </c>
      <c r="I34" s="3">
        <f t="shared" si="1"/>
        <v>0</v>
      </c>
    </row>
    <row r="35" spans="1:9" x14ac:dyDescent="0.2">
      <c r="A35" s="1" t="s">
        <v>383</v>
      </c>
      <c r="B35" s="2">
        <v>101563</v>
      </c>
      <c r="C35" s="2" t="s">
        <v>416</v>
      </c>
      <c r="D35" s="3">
        <v>377902</v>
      </c>
      <c r="E35" s="3">
        <v>66510911</v>
      </c>
      <c r="F35" s="5"/>
      <c r="G35" s="5"/>
      <c r="H35" s="3">
        <f t="shared" si="0"/>
        <v>0</v>
      </c>
      <c r="I35" s="3">
        <f t="shared" si="1"/>
        <v>0</v>
      </c>
    </row>
    <row r="36" spans="1:9" x14ac:dyDescent="0.2">
      <c r="A36" s="1" t="s">
        <v>383</v>
      </c>
      <c r="B36" s="2">
        <v>100858</v>
      </c>
      <c r="C36" s="2" t="s">
        <v>417</v>
      </c>
      <c r="D36" s="3">
        <v>402865</v>
      </c>
      <c r="E36" s="3">
        <v>70904381</v>
      </c>
      <c r="F36" s="5"/>
      <c r="G36" s="5"/>
      <c r="H36" s="3">
        <f t="shared" si="0"/>
        <v>0</v>
      </c>
      <c r="I36" s="3">
        <f t="shared" si="1"/>
        <v>0</v>
      </c>
    </row>
    <row r="37" spans="1:9" x14ac:dyDescent="0.2">
      <c r="A37" s="1" t="s">
        <v>383</v>
      </c>
      <c r="B37" s="2">
        <v>101038</v>
      </c>
      <c r="C37" s="2" t="s">
        <v>418</v>
      </c>
      <c r="D37" s="3">
        <v>471300</v>
      </c>
      <c r="E37" s="3">
        <v>82948961</v>
      </c>
      <c r="F37" s="5"/>
      <c r="G37" s="5"/>
      <c r="H37" s="3">
        <f t="shared" si="0"/>
        <v>0</v>
      </c>
      <c r="I37" s="3">
        <f t="shared" si="1"/>
        <v>0</v>
      </c>
    </row>
    <row r="38" spans="1:9" x14ac:dyDescent="0.2">
      <c r="A38" s="1" t="s">
        <v>383</v>
      </c>
      <c r="B38" s="2">
        <v>101725</v>
      </c>
      <c r="C38" s="2" t="s">
        <v>419</v>
      </c>
      <c r="D38" s="3">
        <v>377491</v>
      </c>
      <c r="E38" s="3">
        <v>66438476</v>
      </c>
      <c r="F38" s="5"/>
      <c r="G38" s="5"/>
      <c r="H38" s="3">
        <f t="shared" si="0"/>
        <v>0</v>
      </c>
      <c r="I38" s="3">
        <f t="shared" si="1"/>
        <v>0</v>
      </c>
    </row>
    <row r="39" spans="1:9" x14ac:dyDescent="0.2">
      <c r="A39" s="1" t="s">
        <v>383</v>
      </c>
      <c r="B39" s="2">
        <v>101241</v>
      </c>
      <c r="C39" s="2" t="s">
        <v>420</v>
      </c>
      <c r="D39" s="3">
        <v>412921</v>
      </c>
      <c r="E39" s="3">
        <v>72674234</v>
      </c>
      <c r="F39" s="5"/>
      <c r="G39" s="5"/>
      <c r="H39" s="3">
        <f t="shared" si="0"/>
        <v>0</v>
      </c>
      <c r="I39" s="3">
        <f t="shared" si="1"/>
        <v>0</v>
      </c>
    </row>
    <row r="40" spans="1:9" x14ac:dyDescent="0.2">
      <c r="A40" s="1" t="s">
        <v>383</v>
      </c>
      <c r="B40" s="2">
        <v>101061</v>
      </c>
      <c r="C40" s="2" t="s">
        <v>421</v>
      </c>
      <c r="D40" s="3">
        <v>456237</v>
      </c>
      <c r="E40" s="3">
        <v>71661840</v>
      </c>
      <c r="F40" s="5"/>
      <c r="G40" s="5"/>
      <c r="H40" s="3">
        <f t="shared" si="0"/>
        <v>0</v>
      </c>
      <c r="I40" s="3">
        <f t="shared" si="1"/>
        <v>0</v>
      </c>
    </row>
    <row r="41" spans="1:9" x14ac:dyDescent="0.2">
      <c r="A41" s="1" t="s">
        <v>383</v>
      </c>
      <c r="B41" s="2">
        <v>101721</v>
      </c>
      <c r="C41" s="2" t="s">
        <v>422</v>
      </c>
      <c r="D41" s="3">
        <v>374782</v>
      </c>
      <c r="E41" s="3">
        <v>65961672</v>
      </c>
      <c r="F41" s="5"/>
      <c r="G41" s="5"/>
      <c r="H41" s="3">
        <f t="shared" si="0"/>
        <v>0</v>
      </c>
      <c r="I41" s="3">
        <f t="shared" si="1"/>
        <v>0</v>
      </c>
    </row>
    <row r="42" spans="1:9" x14ac:dyDescent="0.2">
      <c r="A42" s="1" t="s">
        <v>383</v>
      </c>
      <c r="B42" s="2">
        <v>100758</v>
      </c>
      <c r="C42" s="2" t="s">
        <v>423</v>
      </c>
      <c r="D42" s="3">
        <v>458445</v>
      </c>
      <c r="E42" s="3">
        <v>80686442</v>
      </c>
      <c r="F42" s="5"/>
      <c r="G42" s="5"/>
      <c r="H42" s="3">
        <f t="shared" si="0"/>
        <v>0</v>
      </c>
      <c r="I42" s="3">
        <f t="shared" si="1"/>
        <v>0</v>
      </c>
    </row>
    <row r="43" spans="1:9" x14ac:dyDescent="0.2">
      <c r="A43" s="1" t="s">
        <v>383</v>
      </c>
      <c r="B43" s="2">
        <v>100393</v>
      </c>
      <c r="C43" s="2" t="s">
        <v>424</v>
      </c>
      <c r="D43" s="3">
        <v>516111</v>
      </c>
      <c r="E43" s="3">
        <v>90835700</v>
      </c>
      <c r="F43" s="5"/>
      <c r="G43" s="5"/>
      <c r="H43" s="3">
        <f t="shared" si="0"/>
        <v>0</v>
      </c>
      <c r="I43" s="3">
        <f t="shared" si="1"/>
        <v>0</v>
      </c>
    </row>
    <row r="44" spans="1:9" x14ac:dyDescent="0.2">
      <c r="H44" s="9">
        <f t="shared" ref="H44" si="2">SUM(H3:H43)</f>
        <v>0</v>
      </c>
      <c r="I44" s="9">
        <f>SUM(I3:I43)</f>
        <v>0</v>
      </c>
    </row>
  </sheetData>
  <mergeCells count="1">
    <mergeCell ref="A1:I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3AED8-29BC-40ED-BCE2-C05D4DEE2B3C}">
  <dimension ref="A1:K9"/>
  <sheetViews>
    <sheetView rightToLeft="1" workbookViewId="0">
      <selection activeCell="K6" sqref="K6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425</v>
      </c>
      <c r="B3" s="2">
        <v>100958</v>
      </c>
      <c r="C3" s="2" t="s">
        <v>435</v>
      </c>
      <c r="D3" s="3">
        <v>456237</v>
      </c>
      <c r="E3" s="3">
        <v>71661840</v>
      </c>
      <c r="F3" s="5"/>
      <c r="G3" s="5"/>
      <c r="H3" s="3">
        <f t="shared" ref="H3:H8" si="0">F3*D3</f>
        <v>0</v>
      </c>
      <c r="I3" s="3">
        <f t="shared" ref="I3:I8" si="1">(G3*E3)/100</f>
        <v>0</v>
      </c>
    </row>
    <row r="4" spans="1:11" ht="22.5" x14ac:dyDescent="0.6">
      <c r="A4" s="1" t="s">
        <v>425</v>
      </c>
      <c r="B4" s="2">
        <v>100974</v>
      </c>
      <c r="C4" s="2" t="s">
        <v>440</v>
      </c>
      <c r="D4" s="3">
        <v>456237</v>
      </c>
      <c r="E4" s="3">
        <v>71661840</v>
      </c>
      <c r="F4" s="5"/>
      <c r="G4" s="5"/>
      <c r="H4" s="3">
        <f t="shared" si="0"/>
        <v>0</v>
      </c>
      <c r="I4" s="3">
        <f t="shared" si="1"/>
        <v>0</v>
      </c>
      <c r="J4" s="8" t="s">
        <v>1246</v>
      </c>
      <c r="K4" s="11">
        <v>260055090</v>
      </c>
    </row>
    <row r="5" spans="1:11" ht="22.5" x14ac:dyDescent="0.6">
      <c r="A5" s="1" t="s">
        <v>425</v>
      </c>
      <c r="B5" s="2">
        <v>100979</v>
      </c>
      <c r="C5" s="2" t="s">
        <v>442</v>
      </c>
      <c r="D5" s="3">
        <v>456237</v>
      </c>
      <c r="E5" s="3">
        <v>71661840</v>
      </c>
      <c r="F5" s="5"/>
      <c r="G5" s="5"/>
      <c r="H5" s="3">
        <f t="shared" si="0"/>
        <v>0</v>
      </c>
      <c r="I5" s="3">
        <f t="shared" si="1"/>
        <v>0</v>
      </c>
      <c r="J5" s="8" t="s">
        <v>1247</v>
      </c>
      <c r="K5" s="11">
        <v>279481176</v>
      </c>
    </row>
    <row r="6" spans="1:11" x14ac:dyDescent="0.2">
      <c r="A6" s="1" t="s">
        <v>425</v>
      </c>
      <c r="B6" s="2">
        <v>100987</v>
      </c>
      <c r="C6" s="2" t="s">
        <v>445</v>
      </c>
      <c r="D6" s="3">
        <v>456237</v>
      </c>
      <c r="E6" s="3">
        <v>71661840</v>
      </c>
      <c r="F6" s="5"/>
      <c r="G6" s="5"/>
      <c r="H6" s="3">
        <f t="shared" si="0"/>
        <v>0</v>
      </c>
      <c r="I6" s="3">
        <f t="shared" si="1"/>
        <v>0</v>
      </c>
    </row>
    <row r="7" spans="1:11" x14ac:dyDescent="0.2">
      <c r="A7" s="1" t="s">
        <v>425</v>
      </c>
      <c r="B7" s="2">
        <v>101027</v>
      </c>
      <c r="C7" s="2" t="s">
        <v>449</v>
      </c>
      <c r="D7" s="3">
        <v>456237</v>
      </c>
      <c r="E7" s="3">
        <v>71661840</v>
      </c>
      <c r="F7" s="5"/>
      <c r="G7" s="5"/>
      <c r="H7" s="3">
        <f t="shared" si="0"/>
        <v>0</v>
      </c>
      <c r="I7" s="3">
        <f t="shared" si="1"/>
        <v>0</v>
      </c>
    </row>
    <row r="8" spans="1:11" x14ac:dyDescent="0.2">
      <c r="A8" s="1" t="s">
        <v>425</v>
      </c>
      <c r="B8" s="2">
        <v>101056</v>
      </c>
      <c r="C8" s="2" t="s">
        <v>454</v>
      </c>
      <c r="D8" s="3">
        <v>456237</v>
      </c>
      <c r="E8" s="3">
        <v>71661840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H9" s="9">
        <f>SUM(H3:H8)</f>
        <v>0</v>
      </c>
      <c r="I9" s="9">
        <f>SUM(I3:I8)</f>
        <v>0</v>
      </c>
    </row>
  </sheetData>
  <mergeCells count="1">
    <mergeCell ref="A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CC5AF-FD2F-4FBB-99BE-6A6A7CED0DEE}">
  <dimension ref="A1:K27"/>
  <sheetViews>
    <sheetView rightToLeft="1" workbookViewId="0">
      <selection activeCell="J8" sqref="J8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425</v>
      </c>
      <c r="B3" s="2">
        <v>100904</v>
      </c>
      <c r="C3" s="2" t="s">
        <v>426</v>
      </c>
      <c r="D3" s="3">
        <v>370131</v>
      </c>
      <c r="E3" s="3">
        <v>65143210</v>
      </c>
      <c r="F3" s="5"/>
      <c r="G3" s="5"/>
      <c r="H3" s="3">
        <f t="shared" ref="H3:H26" si="0">F3*D3</f>
        <v>0</v>
      </c>
      <c r="I3" s="3">
        <f t="shared" ref="I3:I26" si="1">(G3*E3)/100</f>
        <v>0</v>
      </c>
    </row>
    <row r="4" spans="1:11" x14ac:dyDescent="0.2">
      <c r="A4" s="1" t="s">
        <v>425</v>
      </c>
      <c r="B4" s="2">
        <v>101383</v>
      </c>
      <c r="C4" s="2" t="s">
        <v>427</v>
      </c>
      <c r="D4" s="3">
        <v>423007</v>
      </c>
      <c r="E4" s="3">
        <v>74449335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425</v>
      </c>
      <c r="B5" s="2">
        <v>100909</v>
      </c>
      <c r="C5" s="2" t="s">
        <v>428</v>
      </c>
      <c r="D5" s="3">
        <v>456237</v>
      </c>
      <c r="E5" s="3">
        <v>71661840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425</v>
      </c>
      <c r="B6" s="2">
        <v>100930</v>
      </c>
      <c r="C6" s="2" t="s">
        <v>429</v>
      </c>
      <c r="D6" s="3">
        <v>167917</v>
      </c>
      <c r="E6" s="3">
        <v>29553480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915934235</v>
      </c>
    </row>
    <row r="7" spans="1:11" ht="22.5" x14ac:dyDescent="0.6">
      <c r="A7" s="1" t="s">
        <v>425</v>
      </c>
      <c r="B7" s="2">
        <v>100851</v>
      </c>
      <c r="C7" s="2" t="s">
        <v>430</v>
      </c>
      <c r="D7" s="3">
        <v>493492</v>
      </c>
      <c r="E7" s="3">
        <v>86854751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1030005132</v>
      </c>
    </row>
    <row r="8" spans="1:11" x14ac:dyDescent="0.2">
      <c r="A8" s="1" t="s">
        <v>425</v>
      </c>
      <c r="B8" s="2">
        <v>101071</v>
      </c>
      <c r="C8" s="2" t="s">
        <v>431</v>
      </c>
      <c r="D8" s="3">
        <v>456237</v>
      </c>
      <c r="E8" s="3">
        <v>71661840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425</v>
      </c>
      <c r="B9" s="2">
        <v>100940</v>
      </c>
      <c r="C9" s="2" t="s">
        <v>432</v>
      </c>
      <c r="D9" s="3">
        <v>456237</v>
      </c>
      <c r="E9" s="3">
        <v>71661840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 t="s">
        <v>425</v>
      </c>
      <c r="B10" s="2">
        <v>100941</v>
      </c>
      <c r="C10" s="2" t="s">
        <v>433</v>
      </c>
      <c r="D10" s="3">
        <v>456237</v>
      </c>
      <c r="E10" s="3">
        <v>71661840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 t="s">
        <v>425</v>
      </c>
      <c r="B11" s="2">
        <v>101309</v>
      </c>
      <c r="C11" s="2" t="s">
        <v>434</v>
      </c>
      <c r="D11" s="3">
        <v>391531</v>
      </c>
      <c r="E11" s="3">
        <v>68909490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 t="s">
        <v>425</v>
      </c>
      <c r="B12" s="2">
        <v>101743</v>
      </c>
      <c r="C12" s="2" t="s">
        <v>436</v>
      </c>
      <c r="D12" s="3">
        <v>288579</v>
      </c>
      <c r="E12" s="3">
        <v>50790015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 t="s">
        <v>425</v>
      </c>
      <c r="B13" s="2">
        <v>100964</v>
      </c>
      <c r="C13" s="2" t="s">
        <v>437</v>
      </c>
      <c r="D13" s="3">
        <v>456237</v>
      </c>
      <c r="E13" s="3">
        <v>71661840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 t="s">
        <v>425</v>
      </c>
      <c r="B14" s="2">
        <v>101754</v>
      </c>
      <c r="C14" s="2" t="s">
        <v>438</v>
      </c>
      <c r="D14" s="3">
        <v>268805</v>
      </c>
      <c r="E14" s="3">
        <v>47309713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 t="s">
        <v>425</v>
      </c>
      <c r="B15" s="2">
        <v>100973</v>
      </c>
      <c r="C15" s="2" t="s">
        <v>439</v>
      </c>
      <c r="D15" s="3">
        <v>456237</v>
      </c>
      <c r="E15" s="3">
        <v>71661840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 t="s">
        <v>425</v>
      </c>
      <c r="B16" s="2">
        <v>101757</v>
      </c>
      <c r="C16" s="2" t="s">
        <v>441</v>
      </c>
      <c r="D16" s="3">
        <v>298876</v>
      </c>
      <c r="E16" s="3">
        <v>52602297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 t="s">
        <v>425</v>
      </c>
      <c r="B17" s="2">
        <v>100980</v>
      </c>
      <c r="C17" s="2" t="s">
        <v>443</v>
      </c>
      <c r="D17" s="3">
        <v>456237</v>
      </c>
      <c r="E17" s="3">
        <v>71661840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 t="s">
        <v>425</v>
      </c>
      <c r="B18" s="2">
        <v>100983</v>
      </c>
      <c r="C18" s="2" t="s">
        <v>444</v>
      </c>
      <c r="D18" s="3">
        <v>456237</v>
      </c>
      <c r="E18" s="3">
        <v>71661840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 t="s">
        <v>425</v>
      </c>
      <c r="B19" s="2">
        <v>100990</v>
      </c>
      <c r="C19" s="2" t="s">
        <v>446</v>
      </c>
      <c r="D19" s="3">
        <v>456237</v>
      </c>
      <c r="E19" s="3">
        <v>71661840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 t="s">
        <v>425</v>
      </c>
      <c r="B20" s="2">
        <v>100991</v>
      </c>
      <c r="C20" s="2" t="s">
        <v>447</v>
      </c>
      <c r="D20" s="3">
        <v>456237</v>
      </c>
      <c r="E20" s="3">
        <v>71661840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A21" s="1" t="s">
        <v>425</v>
      </c>
      <c r="B21" s="2">
        <v>101019</v>
      </c>
      <c r="C21" s="2" t="s">
        <v>448</v>
      </c>
      <c r="D21" s="3">
        <v>456237</v>
      </c>
      <c r="E21" s="3">
        <v>71661840</v>
      </c>
      <c r="F21" s="5"/>
      <c r="G21" s="5"/>
      <c r="H21" s="3">
        <f t="shared" si="0"/>
        <v>0</v>
      </c>
      <c r="I21" s="3">
        <f t="shared" si="1"/>
        <v>0</v>
      </c>
    </row>
    <row r="22" spans="1:9" x14ac:dyDescent="0.2">
      <c r="A22" s="1" t="s">
        <v>425</v>
      </c>
      <c r="B22" s="2">
        <v>100838</v>
      </c>
      <c r="C22" s="2" t="s">
        <v>450</v>
      </c>
      <c r="D22" s="3">
        <v>456528</v>
      </c>
      <c r="E22" s="3">
        <v>80348998</v>
      </c>
      <c r="F22" s="5"/>
      <c r="G22" s="5"/>
      <c r="H22" s="3">
        <f t="shared" si="0"/>
        <v>0</v>
      </c>
      <c r="I22" s="3">
        <f t="shared" si="1"/>
        <v>0</v>
      </c>
    </row>
    <row r="23" spans="1:9" x14ac:dyDescent="0.2">
      <c r="A23" s="1" t="s">
        <v>425</v>
      </c>
      <c r="B23" s="2">
        <v>101044</v>
      </c>
      <c r="C23" s="2" t="s">
        <v>451</v>
      </c>
      <c r="D23" s="3">
        <v>456237</v>
      </c>
      <c r="E23" s="3">
        <v>71661840</v>
      </c>
      <c r="F23" s="5"/>
      <c r="G23" s="5"/>
      <c r="H23" s="3">
        <f t="shared" si="0"/>
        <v>0</v>
      </c>
      <c r="I23" s="3">
        <f t="shared" si="1"/>
        <v>0</v>
      </c>
    </row>
    <row r="24" spans="1:9" x14ac:dyDescent="0.2">
      <c r="A24" s="1" t="s">
        <v>425</v>
      </c>
      <c r="B24" s="2">
        <v>101046</v>
      </c>
      <c r="C24" s="2" t="s">
        <v>452</v>
      </c>
      <c r="D24" s="3">
        <v>456237</v>
      </c>
      <c r="E24" s="3">
        <v>71661840</v>
      </c>
      <c r="F24" s="5"/>
      <c r="G24" s="5"/>
      <c r="H24" s="3">
        <f t="shared" si="0"/>
        <v>0</v>
      </c>
      <c r="I24" s="3">
        <f t="shared" si="1"/>
        <v>0</v>
      </c>
    </row>
    <row r="25" spans="1:9" x14ac:dyDescent="0.2">
      <c r="A25" s="1" t="s">
        <v>425</v>
      </c>
      <c r="B25" s="2">
        <v>101048</v>
      </c>
      <c r="C25" s="2" t="s">
        <v>453</v>
      </c>
      <c r="D25" s="3">
        <v>367333</v>
      </c>
      <c r="E25" s="3">
        <v>64650652</v>
      </c>
      <c r="F25" s="5"/>
      <c r="G25" s="5"/>
      <c r="H25" s="3">
        <f t="shared" si="0"/>
        <v>0</v>
      </c>
      <c r="I25" s="3">
        <f t="shared" si="1"/>
        <v>0</v>
      </c>
    </row>
    <row r="26" spans="1:9" x14ac:dyDescent="0.2">
      <c r="A26" s="1" t="s">
        <v>425</v>
      </c>
      <c r="B26" s="2">
        <v>101865</v>
      </c>
      <c r="C26" s="2" t="s">
        <v>455</v>
      </c>
      <c r="D26" s="3">
        <v>184133</v>
      </c>
      <c r="E26" s="3">
        <v>32407419</v>
      </c>
      <c r="F26" s="5"/>
      <c r="G26" s="5"/>
      <c r="H26" s="3">
        <f t="shared" si="0"/>
        <v>0</v>
      </c>
      <c r="I26" s="3">
        <f t="shared" si="1"/>
        <v>0</v>
      </c>
    </row>
    <row r="27" spans="1:9" x14ac:dyDescent="0.2">
      <c r="H27" s="9">
        <f>SUM(H3:H26)</f>
        <v>0</v>
      </c>
      <c r="I27" s="9">
        <f>SUM(I3:I26)</f>
        <v>0</v>
      </c>
    </row>
  </sheetData>
  <mergeCells count="1">
    <mergeCell ref="A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088A-1FD6-46F5-858E-8F7A82DB9168}">
  <dimension ref="A1:K32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456</v>
      </c>
      <c r="B3" s="2">
        <v>100465</v>
      </c>
      <c r="C3" s="2" t="s">
        <v>457</v>
      </c>
      <c r="D3" s="3">
        <v>483812</v>
      </c>
      <c r="E3" s="3">
        <v>85150962</v>
      </c>
      <c r="F3" s="5"/>
      <c r="G3" s="5"/>
      <c r="H3" s="3">
        <f t="shared" ref="H3:H31" si="0">F3*D3</f>
        <v>0</v>
      </c>
      <c r="I3" s="3">
        <f t="shared" ref="I3:I31" si="1">(G3*E3)/100</f>
        <v>0</v>
      </c>
    </row>
    <row r="4" spans="1:11" x14ac:dyDescent="0.2">
      <c r="A4" s="1" t="s">
        <v>456</v>
      </c>
      <c r="B4" s="2">
        <v>101011</v>
      </c>
      <c r="C4" s="2" t="s">
        <v>458</v>
      </c>
      <c r="D4" s="3">
        <v>231956</v>
      </c>
      <c r="E4" s="3">
        <v>40824366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456</v>
      </c>
      <c r="B5" s="2">
        <v>101231</v>
      </c>
      <c r="C5" s="2" t="s">
        <v>459</v>
      </c>
      <c r="D5" s="3">
        <v>435690</v>
      </c>
      <c r="E5" s="3">
        <v>76681551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456</v>
      </c>
      <c r="B6" s="2">
        <v>101266</v>
      </c>
      <c r="C6" s="2" t="s">
        <v>460</v>
      </c>
      <c r="D6" s="3">
        <v>435678</v>
      </c>
      <c r="E6" s="3">
        <v>76679387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1133416200</v>
      </c>
    </row>
    <row r="7" spans="1:11" ht="22.5" x14ac:dyDescent="0.6">
      <c r="A7" s="1" t="s">
        <v>456</v>
      </c>
      <c r="B7" s="2">
        <v>101544</v>
      </c>
      <c r="C7" s="2" t="s">
        <v>461</v>
      </c>
      <c r="D7" s="3">
        <v>411944</v>
      </c>
      <c r="E7" s="3">
        <v>72502302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1336526106</v>
      </c>
    </row>
    <row r="8" spans="1:11" x14ac:dyDescent="0.2">
      <c r="A8" s="1" t="s">
        <v>456</v>
      </c>
      <c r="B8" s="2">
        <v>101779</v>
      </c>
      <c r="C8" s="2" t="s">
        <v>462</v>
      </c>
      <c r="D8" s="3">
        <v>301126</v>
      </c>
      <c r="E8" s="3">
        <v>52998275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456</v>
      </c>
      <c r="B9" s="2">
        <v>100845</v>
      </c>
      <c r="C9" s="2" t="s">
        <v>463</v>
      </c>
      <c r="D9" s="3">
        <v>368421</v>
      </c>
      <c r="E9" s="3">
        <v>64842205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 t="s">
        <v>456</v>
      </c>
      <c r="B10" s="2">
        <v>101769</v>
      </c>
      <c r="C10" s="2" t="s">
        <v>464</v>
      </c>
      <c r="D10" s="3">
        <v>301510</v>
      </c>
      <c r="E10" s="3">
        <v>53065881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 t="s">
        <v>456</v>
      </c>
      <c r="B11" s="2">
        <v>101279</v>
      </c>
      <c r="C11" s="2" t="s">
        <v>465</v>
      </c>
      <c r="D11" s="3">
        <v>406037</v>
      </c>
      <c r="E11" s="3">
        <v>71462561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 t="s">
        <v>456</v>
      </c>
      <c r="B12" s="2">
        <v>100756</v>
      </c>
      <c r="C12" s="2" t="s">
        <v>466</v>
      </c>
      <c r="D12" s="3">
        <v>507924</v>
      </c>
      <c r="E12" s="3">
        <v>89394720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 t="s">
        <v>456</v>
      </c>
      <c r="B13" s="2">
        <v>101903</v>
      </c>
      <c r="C13" s="2" t="s">
        <v>467</v>
      </c>
      <c r="D13" s="3">
        <v>226359</v>
      </c>
      <c r="E13" s="3">
        <v>39839250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 t="s">
        <v>456</v>
      </c>
      <c r="B14" s="2">
        <v>101963</v>
      </c>
      <c r="C14" s="2" t="s">
        <v>468</v>
      </c>
      <c r="D14" s="3">
        <v>226359</v>
      </c>
      <c r="E14" s="3">
        <v>39839250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 t="s">
        <v>456</v>
      </c>
      <c r="B15" s="2">
        <v>101239</v>
      </c>
      <c r="C15" s="2" t="s">
        <v>469</v>
      </c>
      <c r="D15" s="3">
        <v>434306</v>
      </c>
      <c r="E15" s="3">
        <v>76437937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 t="s">
        <v>456</v>
      </c>
      <c r="B16" s="2">
        <v>101204</v>
      </c>
      <c r="C16" s="2" t="s">
        <v>470</v>
      </c>
      <c r="D16" s="3">
        <v>370070</v>
      </c>
      <c r="E16" s="3">
        <v>65132387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 t="s">
        <v>456</v>
      </c>
      <c r="B17" s="2">
        <v>101426</v>
      </c>
      <c r="C17" s="2" t="s">
        <v>471</v>
      </c>
      <c r="D17" s="3">
        <v>422434</v>
      </c>
      <c r="E17" s="3">
        <v>74348522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 t="s">
        <v>456</v>
      </c>
      <c r="B18" s="2">
        <v>101500</v>
      </c>
      <c r="C18" s="2" t="s">
        <v>472</v>
      </c>
      <c r="D18" s="3">
        <v>396700</v>
      </c>
      <c r="E18" s="3">
        <v>69819290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 t="s">
        <v>456</v>
      </c>
      <c r="B19" s="2">
        <v>101771</v>
      </c>
      <c r="C19" s="2" t="s">
        <v>473</v>
      </c>
      <c r="D19" s="3">
        <v>270835</v>
      </c>
      <c r="E19" s="3">
        <v>47667059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 t="s">
        <v>456</v>
      </c>
      <c r="B20" s="2">
        <v>101154</v>
      </c>
      <c r="C20" s="2" t="s">
        <v>406</v>
      </c>
      <c r="D20" s="3">
        <v>440483</v>
      </c>
      <c r="E20" s="3">
        <v>77525084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A21" s="1" t="s">
        <v>456</v>
      </c>
      <c r="B21" s="2">
        <v>101409</v>
      </c>
      <c r="C21" s="2" t="s">
        <v>474</v>
      </c>
      <c r="D21" s="3">
        <v>401665</v>
      </c>
      <c r="E21" s="3">
        <v>70693208</v>
      </c>
      <c r="F21" s="5"/>
      <c r="G21" s="5"/>
      <c r="H21" s="3">
        <f t="shared" si="0"/>
        <v>0</v>
      </c>
      <c r="I21" s="3">
        <f t="shared" si="1"/>
        <v>0</v>
      </c>
    </row>
    <row r="22" spans="1:9" x14ac:dyDescent="0.2">
      <c r="A22" s="1" t="s">
        <v>456</v>
      </c>
      <c r="B22" s="2">
        <v>100614</v>
      </c>
      <c r="C22" s="2" t="s">
        <v>475</v>
      </c>
      <c r="D22" s="3">
        <v>325082</v>
      </c>
      <c r="E22" s="3">
        <v>57214572</v>
      </c>
      <c r="F22" s="5"/>
      <c r="G22" s="5"/>
      <c r="H22" s="3">
        <f t="shared" si="0"/>
        <v>0</v>
      </c>
      <c r="I22" s="3">
        <f t="shared" si="1"/>
        <v>0</v>
      </c>
    </row>
    <row r="23" spans="1:9" x14ac:dyDescent="0.2">
      <c r="A23" s="1" t="s">
        <v>456</v>
      </c>
      <c r="B23" s="2">
        <v>100482</v>
      </c>
      <c r="C23" s="2" t="s">
        <v>476</v>
      </c>
      <c r="D23" s="3">
        <v>454777</v>
      </c>
      <c r="E23" s="3">
        <v>80040888</v>
      </c>
      <c r="F23" s="5"/>
      <c r="G23" s="5"/>
      <c r="H23" s="3">
        <f t="shared" si="0"/>
        <v>0</v>
      </c>
      <c r="I23" s="3">
        <f t="shared" si="1"/>
        <v>0</v>
      </c>
    </row>
    <row r="24" spans="1:9" x14ac:dyDescent="0.2">
      <c r="A24" s="1" t="s">
        <v>456</v>
      </c>
      <c r="B24" s="2">
        <v>100495</v>
      </c>
      <c r="C24" s="2" t="s">
        <v>477</v>
      </c>
      <c r="D24" s="3">
        <v>502527</v>
      </c>
      <c r="E24" s="3">
        <v>88444772</v>
      </c>
      <c r="F24" s="5"/>
      <c r="G24" s="5"/>
      <c r="H24" s="3">
        <f t="shared" si="0"/>
        <v>0</v>
      </c>
      <c r="I24" s="3">
        <f t="shared" si="1"/>
        <v>0</v>
      </c>
    </row>
    <row r="25" spans="1:9" x14ac:dyDescent="0.2">
      <c r="A25" s="1" t="s">
        <v>456</v>
      </c>
      <c r="B25" s="2">
        <v>101543</v>
      </c>
      <c r="C25" s="2" t="s">
        <v>478</v>
      </c>
      <c r="D25" s="3">
        <v>399217</v>
      </c>
      <c r="E25" s="3">
        <v>70262327</v>
      </c>
      <c r="F25" s="5"/>
      <c r="G25" s="5"/>
      <c r="H25" s="3">
        <f t="shared" si="0"/>
        <v>0</v>
      </c>
      <c r="I25" s="3">
        <f t="shared" si="1"/>
        <v>0</v>
      </c>
    </row>
    <row r="26" spans="1:9" x14ac:dyDescent="0.2">
      <c r="A26" s="1" t="s">
        <v>456</v>
      </c>
      <c r="B26" s="2">
        <v>100799</v>
      </c>
      <c r="C26" s="2" t="s">
        <v>479</v>
      </c>
      <c r="D26" s="3">
        <v>486708</v>
      </c>
      <c r="E26" s="3">
        <v>85660698</v>
      </c>
      <c r="F26" s="5"/>
      <c r="G26" s="5"/>
      <c r="H26" s="3">
        <f t="shared" si="0"/>
        <v>0</v>
      </c>
      <c r="I26" s="3">
        <f t="shared" si="1"/>
        <v>0</v>
      </c>
    </row>
    <row r="27" spans="1:9" x14ac:dyDescent="0.2">
      <c r="A27" s="1" t="s">
        <v>456</v>
      </c>
      <c r="B27" s="2">
        <v>101564</v>
      </c>
      <c r="C27" s="2" t="s">
        <v>480</v>
      </c>
      <c r="D27" s="3">
        <v>380588</v>
      </c>
      <c r="E27" s="3">
        <v>66983639</v>
      </c>
      <c r="F27" s="5"/>
      <c r="G27" s="5"/>
      <c r="H27" s="3">
        <f t="shared" si="0"/>
        <v>0</v>
      </c>
      <c r="I27" s="3">
        <f t="shared" si="1"/>
        <v>0</v>
      </c>
    </row>
    <row r="28" spans="1:9" x14ac:dyDescent="0.2">
      <c r="A28" s="1" t="s">
        <v>456</v>
      </c>
      <c r="B28" s="2">
        <v>101413</v>
      </c>
      <c r="C28" s="2" t="s">
        <v>481</v>
      </c>
      <c r="D28" s="3">
        <v>350809</v>
      </c>
      <c r="E28" s="3">
        <v>61742429</v>
      </c>
      <c r="F28" s="5"/>
      <c r="G28" s="5"/>
      <c r="H28" s="3">
        <f t="shared" si="0"/>
        <v>0</v>
      </c>
      <c r="I28" s="3">
        <f t="shared" si="1"/>
        <v>0</v>
      </c>
    </row>
    <row r="29" spans="1:9" x14ac:dyDescent="0.2">
      <c r="A29" s="1" t="s">
        <v>456</v>
      </c>
      <c r="B29" s="2">
        <v>101047</v>
      </c>
      <c r="C29" s="2" t="s">
        <v>482</v>
      </c>
      <c r="D29" s="3">
        <v>415563</v>
      </c>
      <c r="E29" s="3">
        <v>73139108</v>
      </c>
      <c r="F29" s="5"/>
      <c r="G29" s="5"/>
      <c r="H29" s="3">
        <f t="shared" si="0"/>
        <v>0</v>
      </c>
      <c r="I29" s="3">
        <f t="shared" si="1"/>
        <v>0</v>
      </c>
    </row>
    <row r="30" spans="1:9" x14ac:dyDescent="0.2">
      <c r="A30" s="1" t="s">
        <v>456</v>
      </c>
      <c r="B30" s="2">
        <v>100755</v>
      </c>
      <c r="C30" s="2" t="s">
        <v>483</v>
      </c>
      <c r="D30" s="3">
        <v>521488</v>
      </c>
      <c r="E30" s="3">
        <v>91781896</v>
      </c>
      <c r="F30" s="5"/>
      <c r="G30" s="5"/>
      <c r="H30" s="3">
        <f t="shared" si="0"/>
        <v>0</v>
      </c>
      <c r="I30" s="3">
        <f t="shared" si="1"/>
        <v>0</v>
      </c>
    </row>
    <row r="31" spans="1:9" x14ac:dyDescent="0.2">
      <c r="A31" s="1" t="s">
        <v>456</v>
      </c>
      <c r="B31" s="2">
        <v>101418</v>
      </c>
      <c r="C31" s="2" t="s">
        <v>484</v>
      </c>
      <c r="D31" s="3">
        <v>424094</v>
      </c>
      <c r="E31" s="3">
        <v>74640557</v>
      </c>
      <c r="F31" s="5"/>
      <c r="G31" s="5"/>
      <c r="H31" s="3">
        <f t="shared" si="0"/>
        <v>0</v>
      </c>
      <c r="I31" s="3">
        <f t="shared" si="1"/>
        <v>0</v>
      </c>
    </row>
    <row r="32" spans="1:9" x14ac:dyDescent="0.2">
      <c r="H32" s="9">
        <f t="shared" ref="H32:I32" si="2">SUM(H3:H31)</f>
        <v>0</v>
      </c>
      <c r="I32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731D9-43C6-42DE-95FD-2A40D2E04984}">
  <dimension ref="A1:K27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>
        <v>1607</v>
      </c>
      <c r="B3" s="2">
        <v>101109</v>
      </c>
      <c r="C3" s="2" t="s">
        <v>485</v>
      </c>
      <c r="D3" s="3">
        <v>473192</v>
      </c>
      <c r="E3" s="3">
        <v>83281946</v>
      </c>
      <c r="F3" s="5"/>
      <c r="G3" s="5"/>
      <c r="H3" s="3">
        <f t="shared" ref="H3:H26" si="0">F3*D3</f>
        <v>0</v>
      </c>
      <c r="I3" s="3">
        <f t="shared" ref="I3:I26" si="1">(G3*E3)/100</f>
        <v>0</v>
      </c>
    </row>
    <row r="4" spans="1:11" x14ac:dyDescent="0.2">
      <c r="A4" s="1">
        <v>1607</v>
      </c>
      <c r="B4" s="2">
        <v>100911</v>
      </c>
      <c r="C4" s="2" t="s">
        <v>486</v>
      </c>
      <c r="D4" s="3">
        <v>478543</v>
      </c>
      <c r="E4" s="3">
        <v>84223660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>
        <v>1607</v>
      </c>
      <c r="B5" s="2">
        <v>100697</v>
      </c>
      <c r="C5" s="2" t="s">
        <v>487</v>
      </c>
      <c r="D5" s="3">
        <v>457180</v>
      </c>
      <c r="E5" s="3">
        <v>80463784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>
        <v>1607</v>
      </c>
      <c r="B6" s="2">
        <v>101324</v>
      </c>
      <c r="C6" s="2" t="s">
        <v>488</v>
      </c>
      <c r="D6" s="3">
        <v>430445</v>
      </c>
      <c r="E6" s="3">
        <v>75758351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907583925</v>
      </c>
    </row>
    <row r="7" spans="1:11" ht="22.5" x14ac:dyDescent="0.6">
      <c r="A7" s="1">
        <v>1607</v>
      </c>
      <c r="B7" s="2">
        <v>101950</v>
      </c>
      <c r="C7" s="2" t="s">
        <v>489</v>
      </c>
      <c r="D7" s="3">
        <v>226359</v>
      </c>
      <c r="E7" s="3">
        <v>39839250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1092923574</v>
      </c>
    </row>
    <row r="8" spans="1:11" x14ac:dyDescent="0.2">
      <c r="A8" s="1">
        <v>1607</v>
      </c>
      <c r="B8" s="2">
        <v>100694</v>
      </c>
      <c r="C8" s="2" t="s">
        <v>490</v>
      </c>
      <c r="D8" s="3">
        <v>456812</v>
      </c>
      <c r="E8" s="3">
        <v>80398974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>
        <v>1607</v>
      </c>
      <c r="B9" s="2">
        <v>100564</v>
      </c>
      <c r="C9" s="2" t="s">
        <v>491</v>
      </c>
      <c r="D9" s="3">
        <v>393861</v>
      </c>
      <c r="E9" s="3">
        <v>69319562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>
        <v>1607</v>
      </c>
      <c r="B10" s="2">
        <v>100118</v>
      </c>
      <c r="C10" s="2" t="s">
        <v>492</v>
      </c>
      <c r="D10" s="3">
        <v>552865</v>
      </c>
      <c r="E10" s="3">
        <v>97304350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>
        <v>1607</v>
      </c>
      <c r="B11" s="2">
        <v>100273</v>
      </c>
      <c r="C11" s="2" t="s">
        <v>493</v>
      </c>
      <c r="D11" s="3">
        <v>538460</v>
      </c>
      <c r="E11" s="3">
        <v>94769125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>
        <v>1607</v>
      </c>
      <c r="B12" s="2">
        <v>101322</v>
      </c>
      <c r="C12" s="2" t="s">
        <v>494</v>
      </c>
      <c r="D12" s="3">
        <v>400549</v>
      </c>
      <c r="E12" s="3">
        <v>70496761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>
        <v>1607</v>
      </c>
      <c r="B13" s="2">
        <v>100339</v>
      </c>
      <c r="C13" s="2" t="s">
        <v>495</v>
      </c>
      <c r="D13" s="3">
        <v>525112</v>
      </c>
      <c r="E13" s="3">
        <v>92419828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>
        <v>1607</v>
      </c>
      <c r="B14" s="2">
        <v>101529</v>
      </c>
      <c r="C14" s="2" t="s">
        <v>496</v>
      </c>
      <c r="D14" s="3">
        <v>397592</v>
      </c>
      <c r="E14" s="3">
        <v>69976352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>
        <v>1607</v>
      </c>
      <c r="B15" s="2">
        <v>101744</v>
      </c>
      <c r="C15" s="2" t="s">
        <v>497</v>
      </c>
      <c r="D15" s="3">
        <v>340910</v>
      </c>
      <c r="E15" s="3">
        <v>60000325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>
        <v>1607</v>
      </c>
      <c r="B16" s="2">
        <v>101806</v>
      </c>
      <c r="C16" s="2" t="s">
        <v>498</v>
      </c>
      <c r="D16" s="3">
        <v>188440</v>
      </c>
      <c r="E16" s="3">
        <v>33165572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>
        <v>1607</v>
      </c>
      <c r="B17" s="2">
        <v>101874</v>
      </c>
      <c r="C17" s="2" t="s">
        <v>499</v>
      </c>
      <c r="D17" s="3">
        <v>226359</v>
      </c>
      <c r="E17" s="3">
        <v>39839250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>
        <v>1607</v>
      </c>
      <c r="B18" s="2">
        <v>101966</v>
      </c>
      <c r="C18" s="2" t="s">
        <v>500</v>
      </c>
      <c r="D18" s="3">
        <v>226359</v>
      </c>
      <c r="E18" s="3">
        <v>39839250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>
        <v>1607</v>
      </c>
      <c r="B19" s="2">
        <v>100889</v>
      </c>
      <c r="C19" s="2" t="s">
        <v>501</v>
      </c>
      <c r="D19" s="3">
        <v>455301</v>
      </c>
      <c r="E19" s="3">
        <v>80133068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>
        <v>1607</v>
      </c>
      <c r="B20" s="2">
        <v>101495</v>
      </c>
      <c r="C20" s="2" t="s">
        <v>502</v>
      </c>
      <c r="D20" s="3">
        <v>299288</v>
      </c>
      <c r="E20" s="3">
        <v>52674732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A21" s="1">
        <v>1607</v>
      </c>
      <c r="B21" s="2">
        <v>101263</v>
      </c>
      <c r="C21" s="2" t="s">
        <v>503</v>
      </c>
      <c r="D21" s="3">
        <v>431370</v>
      </c>
      <c r="E21" s="3">
        <v>75921189</v>
      </c>
      <c r="F21" s="5"/>
      <c r="G21" s="5"/>
      <c r="H21" s="3">
        <f t="shared" si="0"/>
        <v>0</v>
      </c>
      <c r="I21" s="3">
        <f t="shared" si="1"/>
        <v>0</v>
      </c>
    </row>
    <row r="22" spans="1:9" x14ac:dyDescent="0.2">
      <c r="A22" s="1">
        <v>1607</v>
      </c>
      <c r="B22" s="2">
        <v>101934</v>
      </c>
      <c r="C22" s="2" t="s">
        <v>504</v>
      </c>
      <c r="D22" s="3">
        <v>255168</v>
      </c>
      <c r="E22" s="3">
        <v>44909700</v>
      </c>
      <c r="F22" s="5"/>
      <c r="G22" s="5"/>
      <c r="H22" s="3">
        <f t="shared" si="0"/>
        <v>0</v>
      </c>
      <c r="I22" s="3">
        <f t="shared" si="1"/>
        <v>0</v>
      </c>
    </row>
    <row r="23" spans="1:9" x14ac:dyDescent="0.2">
      <c r="A23" s="1">
        <v>1607</v>
      </c>
      <c r="B23" s="2">
        <v>101503</v>
      </c>
      <c r="C23" s="2" t="s">
        <v>505</v>
      </c>
      <c r="D23" s="3">
        <v>403975</v>
      </c>
      <c r="E23" s="3">
        <v>71099669</v>
      </c>
      <c r="F23" s="5"/>
      <c r="G23" s="5"/>
      <c r="H23" s="3">
        <f t="shared" si="0"/>
        <v>0</v>
      </c>
      <c r="I23" s="3">
        <f t="shared" si="1"/>
        <v>0</v>
      </c>
    </row>
    <row r="24" spans="1:9" x14ac:dyDescent="0.2">
      <c r="A24" s="1">
        <v>1607</v>
      </c>
      <c r="B24" s="2">
        <v>100513</v>
      </c>
      <c r="C24" s="2" t="s">
        <v>506</v>
      </c>
      <c r="D24" s="3">
        <v>511349</v>
      </c>
      <c r="E24" s="3">
        <v>89997438</v>
      </c>
      <c r="F24" s="5"/>
      <c r="G24" s="5"/>
      <c r="H24" s="3">
        <f t="shared" si="0"/>
        <v>0</v>
      </c>
      <c r="I24" s="3">
        <f t="shared" si="1"/>
        <v>0</v>
      </c>
    </row>
    <row r="25" spans="1:9" x14ac:dyDescent="0.2">
      <c r="A25" s="1">
        <v>1607</v>
      </c>
      <c r="B25" s="2">
        <v>100860</v>
      </c>
      <c r="C25" s="2" t="s">
        <v>507</v>
      </c>
      <c r="D25" s="3">
        <v>442546</v>
      </c>
      <c r="E25" s="3">
        <v>77888146</v>
      </c>
      <c r="F25" s="5"/>
      <c r="G25" s="5"/>
      <c r="H25" s="3">
        <f t="shared" si="0"/>
        <v>0</v>
      </c>
      <c r="I25" s="3">
        <f t="shared" si="1"/>
        <v>0</v>
      </c>
    </row>
    <row r="26" spans="1:9" x14ac:dyDescent="0.2">
      <c r="A26" s="1">
        <v>1607</v>
      </c>
      <c r="B26" s="2">
        <v>101226</v>
      </c>
      <c r="C26" s="2" t="s">
        <v>508</v>
      </c>
      <c r="D26" s="3">
        <v>441480</v>
      </c>
      <c r="E26" s="3">
        <v>77700601</v>
      </c>
      <c r="F26" s="5"/>
      <c r="G26" s="5"/>
      <c r="H26" s="3">
        <f t="shared" si="0"/>
        <v>0</v>
      </c>
      <c r="I26" s="3">
        <f t="shared" si="1"/>
        <v>0</v>
      </c>
    </row>
    <row r="27" spans="1:9" x14ac:dyDescent="0.2">
      <c r="H27" s="9">
        <f t="shared" ref="H27:I27" si="2">SUM(H3:H26)</f>
        <v>0</v>
      </c>
      <c r="I27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0EC5E-F11F-45ED-9216-D984CB950376}">
  <dimension ref="A1:K17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509</v>
      </c>
      <c r="B3" s="2">
        <v>101360</v>
      </c>
      <c r="C3" s="2" t="s">
        <v>510</v>
      </c>
      <c r="D3" s="3">
        <v>385632</v>
      </c>
      <c r="E3" s="3">
        <v>67871291</v>
      </c>
      <c r="F3" s="5"/>
      <c r="G3" s="5"/>
      <c r="H3" s="3">
        <f t="shared" ref="H3:H16" si="0">F3*D3</f>
        <v>0</v>
      </c>
      <c r="I3" s="3">
        <f t="shared" ref="I3:I16" si="1">(G3*E3)/100</f>
        <v>0</v>
      </c>
    </row>
    <row r="4" spans="1:11" x14ac:dyDescent="0.2">
      <c r="A4" s="1" t="s">
        <v>509</v>
      </c>
      <c r="B4" s="2">
        <v>101317</v>
      </c>
      <c r="C4" s="2" t="s">
        <v>511</v>
      </c>
      <c r="D4" s="3">
        <v>438528</v>
      </c>
      <c r="E4" s="3">
        <v>77180948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509</v>
      </c>
      <c r="B5" s="2">
        <v>101505</v>
      </c>
      <c r="C5" s="2" t="s">
        <v>512</v>
      </c>
      <c r="D5" s="3">
        <v>402018</v>
      </c>
      <c r="E5" s="3">
        <v>70755317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509</v>
      </c>
      <c r="B6" s="2">
        <v>101285</v>
      </c>
      <c r="C6" s="2" t="s">
        <v>513</v>
      </c>
      <c r="D6" s="3">
        <v>396061</v>
      </c>
      <c r="E6" s="3">
        <v>69706825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506300695</v>
      </c>
    </row>
    <row r="7" spans="1:11" ht="22.5" x14ac:dyDescent="0.6">
      <c r="A7" s="1" t="s">
        <v>509</v>
      </c>
      <c r="B7" s="2">
        <v>101905</v>
      </c>
      <c r="C7" s="2" t="s">
        <v>514</v>
      </c>
      <c r="D7" s="3">
        <v>244879</v>
      </c>
      <c r="E7" s="3">
        <v>43098825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552430739</v>
      </c>
    </row>
    <row r="8" spans="1:11" x14ac:dyDescent="0.2">
      <c r="A8" s="1" t="s">
        <v>509</v>
      </c>
      <c r="B8" s="2">
        <v>101906</v>
      </c>
      <c r="C8" s="2" t="s">
        <v>515</v>
      </c>
      <c r="D8" s="3">
        <v>244879</v>
      </c>
      <c r="E8" s="3">
        <v>43098825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509</v>
      </c>
      <c r="B9" s="2">
        <v>101124</v>
      </c>
      <c r="C9" s="2" t="s">
        <v>516</v>
      </c>
      <c r="D9" s="3">
        <v>434028</v>
      </c>
      <c r="E9" s="3">
        <v>76389002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 t="s">
        <v>509</v>
      </c>
      <c r="B10" s="2">
        <v>101745</v>
      </c>
      <c r="C10" s="2" t="s">
        <v>517</v>
      </c>
      <c r="D10" s="3">
        <v>456237</v>
      </c>
      <c r="E10" s="3">
        <v>71661840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 t="s">
        <v>509</v>
      </c>
      <c r="B11" s="2">
        <v>100981</v>
      </c>
      <c r="C11" s="2" t="s">
        <v>518</v>
      </c>
      <c r="D11" s="3">
        <v>388493</v>
      </c>
      <c r="E11" s="3">
        <v>68374810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 t="s">
        <v>509</v>
      </c>
      <c r="B12" s="2">
        <v>100813</v>
      </c>
      <c r="C12" s="2" t="s">
        <v>519</v>
      </c>
      <c r="D12" s="3">
        <v>506484</v>
      </c>
      <c r="E12" s="3">
        <v>89141281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 t="s">
        <v>509</v>
      </c>
      <c r="B13" s="2">
        <v>101386</v>
      </c>
      <c r="C13" s="2" t="s">
        <v>520</v>
      </c>
      <c r="D13" s="3">
        <v>414442</v>
      </c>
      <c r="E13" s="3">
        <v>72941849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 t="s">
        <v>509</v>
      </c>
      <c r="B14" s="2">
        <v>101036</v>
      </c>
      <c r="C14" s="2" t="s">
        <v>521</v>
      </c>
      <c r="D14" s="3">
        <v>456237</v>
      </c>
      <c r="E14" s="3">
        <v>71661840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 t="s">
        <v>509</v>
      </c>
      <c r="B15" s="2">
        <v>101902</v>
      </c>
      <c r="C15" s="2" t="s">
        <v>522</v>
      </c>
      <c r="D15" s="3">
        <v>218128</v>
      </c>
      <c r="E15" s="3">
        <v>38390550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 t="s">
        <v>509</v>
      </c>
      <c r="B16" s="2">
        <v>101373</v>
      </c>
      <c r="C16" s="2" t="s">
        <v>523</v>
      </c>
      <c r="D16" s="3">
        <v>343435</v>
      </c>
      <c r="E16" s="3">
        <v>60444695</v>
      </c>
      <c r="F16" s="5"/>
      <c r="G16" s="5"/>
      <c r="H16" s="3">
        <f t="shared" si="0"/>
        <v>0</v>
      </c>
      <c r="I16" s="3">
        <f t="shared" si="1"/>
        <v>0</v>
      </c>
    </row>
    <row r="17" spans="8:9" x14ac:dyDescent="0.2">
      <c r="H17" s="9">
        <f t="shared" ref="H17:I17" si="2">SUM(H3:H16)</f>
        <v>0</v>
      </c>
      <c r="I17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47A4-78D2-4461-A083-F7C37FBA11B4}">
  <dimension ref="A1:K20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524</v>
      </c>
      <c r="B3" s="2">
        <v>100252</v>
      </c>
      <c r="C3" s="2" t="s">
        <v>525</v>
      </c>
      <c r="D3" s="3">
        <v>343245</v>
      </c>
      <c r="E3" s="3">
        <v>60411180</v>
      </c>
      <c r="F3" s="5"/>
      <c r="G3" s="5"/>
      <c r="H3" s="3">
        <f t="shared" ref="H3:H19" si="0">F3*D3</f>
        <v>0</v>
      </c>
      <c r="I3" s="3">
        <f t="shared" ref="I3:I19" si="1">(G3*E3)/100</f>
        <v>0</v>
      </c>
    </row>
    <row r="4" spans="1:11" x14ac:dyDescent="0.2">
      <c r="A4" s="1" t="s">
        <v>524</v>
      </c>
      <c r="B4" s="2">
        <v>100562</v>
      </c>
      <c r="C4" s="2" t="s">
        <v>526</v>
      </c>
      <c r="D4" s="3">
        <v>519305</v>
      </c>
      <c r="E4" s="3">
        <v>91397848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524</v>
      </c>
      <c r="B5" s="2">
        <v>101531</v>
      </c>
      <c r="C5" s="2" t="s">
        <v>527</v>
      </c>
      <c r="D5" s="3">
        <v>346373</v>
      </c>
      <c r="E5" s="3">
        <v>60961732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524</v>
      </c>
      <c r="B6" s="2">
        <v>101122</v>
      </c>
      <c r="C6" s="2" t="s">
        <v>528</v>
      </c>
      <c r="D6" s="3">
        <v>438908</v>
      </c>
      <c r="E6" s="3">
        <v>77247955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651891140</v>
      </c>
    </row>
    <row r="7" spans="1:11" ht="22.5" x14ac:dyDescent="0.6">
      <c r="A7" s="1" t="s">
        <v>524</v>
      </c>
      <c r="B7" s="2">
        <v>101854</v>
      </c>
      <c r="C7" s="2" t="s">
        <v>529</v>
      </c>
      <c r="D7" s="3">
        <v>218237</v>
      </c>
      <c r="E7" s="3">
        <v>38409866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760860888</v>
      </c>
    </row>
    <row r="8" spans="1:11" x14ac:dyDescent="0.2">
      <c r="A8" s="1" t="s">
        <v>524</v>
      </c>
      <c r="B8" s="2">
        <v>101176</v>
      </c>
      <c r="C8" s="2" t="s">
        <v>530</v>
      </c>
      <c r="D8" s="3">
        <v>421284</v>
      </c>
      <c r="E8" s="3">
        <v>74146051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524</v>
      </c>
      <c r="B9" s="2">
        <v>101925</v>
      </c>
      <c r="C9" s="2" t="s">
        <v>531</v>
      </c>
      <c r="D9" s="3">
        <v>218128</v>
      </c>
      <c r="E9" s="3">
        <v>38390550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 t="s">
        <v>524</v>
      </c>
      <c r="B10" s="2">
        <v>101340</v>
      </c>
      <c r="C10" s="2" t="s">
        <v>532</v>
      </c>
      <c r="D10" s="3">
        <v>370474</v>
      </c>
      <c r="E10" s="3">
        <v>65203555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 t="s">
        <v>524</v>
      </c>
      <c r="B11" s="2">
        <v>100761</v>
      </c>
      <c r="C11" s="2" t="s">
        <v>533</v>
      </c>
      <c r="D11" s="3">
        <v>505758</v>
      </c>
      <c r="E11" s="3">
        <v>89013504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 t="s">
        <v>524</v>
      </c>
      <c r="B12" s="2">
        <v>101121</v>
      </c>
      <c r="C12" s="2" t="s">
        <v>534</v>
      </c>
      <c r="D12" s="3">
        <v>439414</v>
      </c>
      <c r="E12" s="3">
        <v>77336897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 t="s">
        <v>524</v>
      </c>
      <c r="B13" s="2">
        <v>100676</v>
      </c>
      <c r="C13" s="2" t="s">
        <v>535</v>
      </c>
      <c r="D13" s="3">
        <v>493825</v>
      </c>
      <c r="E13" s="3">
        <v>86913272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 t="s">
        <v>524</v>
      </c>
      <c r="B14" s="2">
        <v>101395</v>
      </c>
      <c r="C14" s="2" t="s">
        <v>60</v>
      </c>
      <c r="D14" s="3">
        <v>373466</v>
      </c>
      <c r="E14" s="3">
        <v>65730155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 t="s">
        <v>524</v>
      </c>
      <c r="B15" s="2">
        <v>101276</v>
      </c>
      <c r="C15" s="2" t="s">
        <v>536</v>
      </c>
      <c r="D15" s="3">
        <v>421739</v>
      </c>
      <c r="E15" s="3">
        <v>74226219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 t="s">
        <v>524</v>
      </c>
      <c r="B16" s="2">
        <v>101142</v>
      </c>
      <c r="C16" s="2" t="s">
        <v>537</v>
      </c>
      <c r="D16" s="3">
        <v>429783</v>
      </c>
      <c r="E16" s="3">
        <v>75641846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 t="s">
        <v>524</v>
      </c>
      <c r="B17" s="2">
        <v>100778</v>
      </c>
      <c r="C17" s="2" t="s">
        <v>538</v>
      </c>
      <c r="D17" s="3">
        <v>436591</v>
      </c>
      <c r="E17" s="3">
        <v>76840096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 t="s">
        <v>524</v>
      </c>
      <c r="B18" s="2">
        <v>101246</v>
      </c>
      <c r="C18" s="2" t="s">
        <v>539</v>
      </c>
      <c r="D18" s="3">
        <v>416234</v>
      </c>
      <c r="E18" s="3">
        <v>73257299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 t="s">
        <v>524</v>
      </c>
      <c r="B19" s="2">
        <v>100726</v>
      </c>
      <c r="C19" s="2" t="s">
        <v>540</v>
      </c>
      <c r="D19" s="3">
        <v>469248</v>
      </c>
      <c r="E19" s="3">
        <v>82587670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H20" s="9">
        <f t="shared" ref="H20:I20" si="2">SUM(H3:H19)</f>
        <v>0</v>
      </c>
      <c r="I20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9EF61-8E61-429E-A2D3-4EFC5EF14ECF}">
  <dimension ref="A1:K21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541</v>
      </c>
      <c r="B3" s="2">
        <v>100768</v>
      </c>
      <c r="C3" s="2" t="s">
        <v>542</v>
      </c>
      <c r="D3" s="3">
        <v>412957</v>
      </c>
      <c r="E3" s="3">
        <v>72680438</v>
      </c>
      <c r="F3" s="5"/>
      <c r="G3" s="5"/>
      <c r="H3" s="3">
        <f t="shared" ref="H3:H20" si="0">F3*D3</f>
        <v>0</v>
      </c>
      <c r="I3" s="3">
        <f t="shared" ref="I3:I20" si="1">(G3*E3)/100</f>
        <v>0</v>
      </c>
    </row>
    <row r="4" spans="1:11" x14ac:dyDescent="0.2">
      <c r="A4" s="1" t="s">
        <v>541</v>
      </c>
      <c r="B4" s="2">
        <v>100586</v>
      </c>
      <c r="C4" s="2" t="s">
        <v>543</v>
      </c>
      <c r="D4" s="3">
        <v>530229</v>
      </c>
      <c r="E4" s="3">
        <v>93320425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541</v>
      </c>
      <c r="B5" s="2">
        <v>100348</v>
      </c>
      <c r="C5" s="2" t="s">
        <v>544</v>
      </c>
      <c r="D5" s="3">
        <v>445735</v>
      </c>
      <c r="E5" s="3">
        <v>78449374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541</v>
      </c>
      <c r="B6" s="2">
        <v>101888</v>
      </c>
      <c r="C6" s="2" t="s">
        <v>545</v>
      </c>
      <c r="D6" s="3">
        <v>218128</v>
      </c>
      <c r="E6" s="3">
        <v>38390550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679035680</v>
      </c>
    </row>
    <row r="7" spans="1:11" ht="22.5" x14ac:dyDescent="0.6">
      <c r="A7" s="1" t="s">
        <v>541</v>
      </c>
      <c r="B7" s="2">
        <v>101419</v>
      </c>
      <c r="C7" s="2" t="s">
        <v>546</v>
      </c>
      <c r="D7" s="3">
        <v>412669</v>
      </c>
      <c r="E7" s="3">
        <v>72629876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787102154</v>
      </c>
    </row>
    <row r="8" spans="1:11" x14ac:dyDescent="0.2">
      <c r="A8" s="1" t="s">
        <v>541</v>
      </c>
      <c r="B8" s="2">
        <v>101089</v>
      </c>
      <c r="C8" s="2" t="s">
        <v>547</v>
      </c>
      <c r="D8" s="3">
        <v>407308</v>
      </c>
      <c r="E8" s="3">
        <v>71686309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541</v>
      </c>
      <c r="B9" s="2">
        <v>101097</v>
      </c>
      <c r="C9" s="2" t="s">
        <v>548</v>
      </c>
      <c r="D9" s="3">
        <v>387569</v>
      </c>
      <c r="E9" s="3">
        <v>68212238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 t="s">
        <v>541</v>
      </c>
      <c r="B10" s="2">
        <v>100229</v>
      </c>
      <c r="C10" s="2" t="s">
        <v>549</v>
      </c>
      <c r="D10" s="3">
        <v>465056</v>
      </c>
      <c r="E10" s="3">
        <v>81849923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 t="s">
        <v>541</v>
      </c>
      <c r="B11" s="2">
        <v>517472</v>
      </c>
      <c r="C11" s="2" t="s">
        <v>550</v>
      </c>
      <c r="D11" s="3">
        <v>287819</v>
      </c>
      <c r="E11" s="3">
        <v>50656210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 t="s">
        <v>541</v>
      </c>
      <c r="B12" s="2">
        <v>100989</v>
      </c>
      <c r="C12" s="2" t="s">
        <v>551</v>
      </c>
      <c r="D12" s="3">
        <v>391513</v>
      </c>
      <c r="E12" s="3">
        <v>68906439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 t="s">
        <v>541</v>
      </c>
      <c r="B13" s="2">
        <v>100988</v>
      </c>
      <c r="C13" s="2" t="s">
        <v>552</v>
      </c>
      <c r="D13" s="3">
        <v>456237</v>
      </c>
      <c r="E13" s="3">
        <v>71661840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 t="s">
        <v>541</v>
      </c>
      <c r="B14" s="2">
        <v>101159</v>
      </c>
      <c r="C14" s="2" t="s">
        <v>553</v>
      </c>
      <c r="D14" s="3">
        <v>420353</v>
      </c>
      <c r="E14" s="3">
        <v>73982271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 t="s">
        <v>541</v>
      </c>
      <c r="B15" s="2">
        <v>100408</v>
      </c>
      <c r="C15" s="2" t="s">
        <v>554</v>
      </c>
      <c r="D15" s="3">
        <v>471904</v>
      </c>
      <c r="E15" s="3">
        <v>83055248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 t="s">
        <v>541</v>
      </c>
      <c r="B16" s="2">
        <v>100719</v>
      </c>
      <c r="C16" s="2" t="s">
        <v>555</v>
      </c>
      <c r="D16" s="3">
        <v>474445</v>
      </c>
      <c r="E16" s="3">
        <v>83502479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 t="s">
        <v>541</v>
      </c>
      <c r="B17" s="2">
        <v>101497</v>
      </c>
      <c r="C17" s="2" t="s">
        <v>556</v>
      </c>
      <c r="D17" s="3">
        <v>324174</v>
      </c>
      <c r="E17" s="3">
        <v>57054635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 t="s">
        <v>541</v>
      </c>
      <c r="B18" s="2">
        <v>101501</v>
      </c>
      <c r="C18" s="2" t="s">
        <v>557</v>
      </c>
      <c r="D18" s="3">
        <v>355054</v>
      </c>
      <c r="E18" s="3">
        <v>62489621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 t="s">
        <v>541</v>
      </c>
      <c r="B19" s="2">
        <v>101399</v>
      </c>
      <c r="C19" s="2" t="s">
        <v>558</v>
      </c>
      <c r="D19" s="3">
        <v>343297</v>
      </c>
      <c r="E19" s="3">
        <v>60420311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 t="s">
        <v>541</v>
      </c>
      <c r="B20" s="2">
        <v>101427</v>
      </c>
      <c r="C20" s="2" t="s">
        <v>559</v>
      </c>
      <c r="D20" s="3">
        <v>343297</v>
      </c>
      <c r="E20" s="3">
        <v>60420311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H21" s="9">
        <f t="shared" ref="H21:I21" si="2">SUM(H3:H20)</f>
        <v>0</v>
      </c>
      <c r="I21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4364-8D57-411E-9143-64EBEE5F12C0}">
  <dimension ref="A1:K61"/>
  <sheetViews>
    <sheetView rightToLeft="1" topLeftCell="A25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560</v>
      </c>
      <c r="B3" s="2">
        <v>100357</v>
      </c>
      <c r="C3" s="2" t="s">
        <v>561</v>
      </c>
      <c r="D3" s="3">
        <v>444128</v>
      </c>
      <c r="E3" s="3">
        <v>78166614</v>
      </c>
      <c r="F3" s="5"/>
      <c r="G3" s="5"/>
      <c r="H3" s="3">
        <f t="shared" ref="H3:H34" si="0">F3*D3</f>
        <v>0</v>
      </c>
      <c r="I3" s="3">
        <f t="shared" ref="I3:I34" si="1">(G3*E3)/100</f>
        <v>0</v>
      </c>
    </row>
    <row r="4" spans="1:11" x14ac:dyDescent="0.2">
      <c r="A4" s="1" t="s">
        <v>560</v>
      </c>
      <c r="B4" s="2">
        <v>101422</v>
      </c>
      <c r="C4" s="2" t="s">
        <v>562</v>
      </c>
      <c r="D4" s="3">
        <v>401592</v>
      </c>
      <c r="E4" s="3">
        <v>70680263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560</v>
      </c>
      <c r="B5" s="2">
        <v>100507</v>
      </c>
      <c r="C5" s="2" t="s">
        <v>563</v>
      </c>
      <c r="D5" s="3">
        <v>486479</v>
      </c>
      <c r="E5" s="3">
        <v>85620380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560</v>
      </c>
      <c r="B6" s="2">
        <v>100472</v>
      </c>
      <c r="C6" s="2" t="s">
        <v>564</v>
      </c>
      <c r="D6" s="3">
        <v>495940</v>
      </c>
      <c r="E6" s="3">
        <v>87285452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2407411400</v>
      </c>
    </row>
    <row r="7" spans="1:11" ht="22.5" x14ac:dyDescent="0.6">
      <c r="A7" s="1" t="s">
        <v>560</v>
      </c>
      <c r="B7" s="2">
        <v>101116</v>
      </c>
      <c r="C7" s="2" t="s">
        <v>565</v>
      </c>
      <c r="D7" s="3">
        <v>418654</v>
      </c>
      <c r="E7" s="3">
        <v>73683184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2742854846</v>
      </c>
    </row>
    <row r="8" spans="1:11" x14ac:dyDescent="0.2">
      <c r="A8" s="1" t="s">
        <v>560</v>
      </c>
      <c r="B8" s="2">
        <v>100351</v>
      </c>
      <c r="C8" s="2" t="s">
        <v>566</v>
      </c>
      <c r="D8" s="3">
        <v>485203</v>
      </c>
      <c r="E8" s="3">
        <v>85395784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560</v>
      </c>
      <c r="B9" s="2">
        <v>101284</v>
      </c>
      <c r="C9" s="2" t="s">
        <v>567</v>
      </c>
      <c r="D9" s="3">
        <v>380955</v>
      </c>
      <c r="E9" s="3">
        <v>67048233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 t="s">
        <v>560</v>
      </c>
      <c r="B10" s="2">
        <v>101288</v>
      </c>
      <c r="C10" s="2" t="s">
        <v>568</v>
      </c>
      <c r="D10" s="3">
        <v>422398</v>
      </c>
      <c r="E10" s="3">
        <v>74342115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 t="s">
        <v>560</v>
      </c>
      <c r="B11" s="2">
        <v>101293</v>
      </c>
      <c r="C11" s="2" t="s">
        <v>569</v>
      </c>
      <c r="D11" s="3">
        <v>390738</v>
      </c>
      <c r="E11" s="3">
        <v>68769891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 t="s">
        <v>560</v>
      </c>
      <c r="B12" s="2">
        <v>101345</v>
      </c>
      <c r="C12" s="2" t="s">
        <v>570</v>
      </c>
      <c r="D12" s="3">
        <v>343453</v>
      </c>
      <c r="E12" s="3">
        <v>60447743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 t="s">
        <v>560</v>
      </c>
      <c r="B13" s="2">
        <v>100323</v>
      </c>
      <c r="C13" s="2" t="s">
        <v>571</v>
      </c>
      <c r="D13" s="3">
        <v>353462</v>
      </c>
      <c r="E13" s="3">
        <v>62209326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 t="s">
        <v>560</v>
      </c>
      <c r="B14" s="2">
        <v>42022</v>
      </c>
      <c r="C14" s="2" t="s">
        <v>572</v>
      </c>
      <c r="D14" s="3">
        <v>303568</v>
      </c>
      <c r="E14" s="3">
        <v>53428056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 t="s">
        <v>560</v>
      </c>
      <c r="B15" s="2">
        <v>100341</v>
      </c>
      <c r="C15" s="2" t="s">
        <v>573</v>
      </c>
      <c r="D15" s="3">
        <v>459787</v>
      </c>
      <c r="E15" s="3">
        <v>80922552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 t="s">
        <v>560</v>
      </c>
      <c r="B16" s="2">
        <v>100821</v>
      </c>
      <c r="C16" s="2" t="s">
        <v>574</v>
      </c>
      <c r="D16" s="3">
        <v>460944</v>
      </c>
      <c r="E16" s="3">
        <v>81126300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 t="s">
        <v>560</v>
      </c>
      <c r="B17" s="2">
        <v>100415</v>
      </c>
      <c r="C17" s="2" t="s">
        <v>575</v>
      </c>
      <c r="D17" s="3">
        <v>504676</v>
      </c>
      <c r="E17" s="3">
        <v>88822999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 t="s">
        <v>560</v>
      </c>
      <c r="B18" s="2">
        <v>101191</v>
      </c>
      <c r="C18" s="2" t="s">
        <v>576</v>
      </c>
      <c r="D18" s="3">
        <v>427585</v>
      </c>
      <c r="E18" s="3">
        <v>75255107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 t="s">
        <v>560</v>
      </c>
      <c r="B19" s="2">
        <v>100338</v>
      </c>
      <c r="C19" s="2" t="s">
        <v>577</v>
      </c>
      <c r="D19" s="3">
        <v>413241</v>
      </c>
      <c r="E19" s="3">
        <v>72730522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 t="s">
        <v>560</v>
      </c>
      <c r="B20" s="2">
        <v>100091</v>
      </c>
      <c r="C20" s="2" t="s">
        <v>578</v>
      </c>
      <c r="D20" s="3">
        <v>530229</v>
      </c>
      <c r="E20" s="3">
        <v>93320425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A21" s="1" t="s">
        <v>560</v>
      </c>
      <c r="B21" s="2">
        <v>100337</v>
      </c>
      <c r="C21" s="2" t="s">
        <v>579</v>
      </c>
      <c r="D21" s="3">
        <v>415719</v>
      </c>
      <c r="E21" s="3">
        <v>73166674</v>
      </c>
      <c r="F21" s="5"/>
      <c r="G21" s="5"/>
      <c r="H21" s="3">
        <f t="shared" si="0"/>
        <v>0</v>
      </c>
      <c r="I21" s="3">
        <f t="shared" si="1"/>
        <v>0</v>
      </c>
    </row>
    <row r="22" spans="1:9" x14ac:dyDescent="0.2">
      <c r="A22" s="1" t="s">
        <v>560</v>
      </c>
      <c r="B22" s="2">
        <v>100413</v>
      </c>
      <c r="C22" s="2" t="s">
        <v>580</v>
      </c>
      <c r="D22" s="3">
        <v>445381</v>
      </c>
      <c r="E22" s="3">
        <v>78387098</v>
      </c>
      <c r="F22" s="5"/>
      <c r="G22" s="5"/>
      <c r="H22" s="3">
        <f t="shared" si="0"/>
        <v>0</v>
      </c>
      <c r="I22" s="3">
        <f t="shared" si="1"/>
        <v>0</v>
      </c>
    </row>
    <row r="23" spans="1:9" x14ac:dyDescent="0.2">
      <c r="A23" s="1" t="s">
        <v>560</v>
      </c>
      <c r="B23" s="2">
        <v>100847</v>
      </c>
      <c r="C23" s="2" t="s">
        <v>581</v>
      </c>
      <c r="D23" s="3">
        <v>389265</v>
      </c>
      <c r="E23" s="3">
        <v>68510739</v>
      </c>
      <c r="F23" s="5"/>
      <c r="G23" s="5"/>
      <c r="H23" s="3">
        <f t="shared" si="0"/>
        <v>0</v>
      </c>
      <c r="I23" s="3">
        <f t="shared" si="1"/>
        <v>0</v>
      </c>
    </row>
    <row r="24" spans="1:9" x14ac:dyDescent="0.2">
      <c r="A24" s="1" t="s">
        <v>560</v>
      </c>
      <c r="B24" s="2">
        <v>101559</v>
      </c>
      <c r="C24" s="2" t="s">
        <v>582</v>
      </c>
      <c r="D24" s="3">
        <v>342954</v>
      </c>
      <c r="E24" s="3">
        <v>60360032</v>
      </c>
      <c r="F24" s="5"/>
      <c r="G24" s="5"/>
      <c r="H24" s="3">
        <f t="shared" si="0"/>
        <v>0</v>
      </c>
      <c r="I24" s="3">
        <f t="shared" si="1"/>
        <v>0</v>
      </c>
    </row>
    <row r="25" spans="1:9" x14ac:dyDescent="0.2">
      <c r="A25" s="1" t="s">
        <v>560</v>
      </c>
      <c r="B25" s="2">
        <v>100773</v>
      </c>
      <c r="C25" s="2" t="s">
        <v>583</v>
      </c>
      <c r="D25" s="3">
        <v>429805</v>
      </c>
      <c r="E25" s="3">
        <v>75645755</v>
      </c>
      <c r="F25" s="5"/>
      <c r="G25" s="5"/>
      <c r="H25" s="3">
        <f t="shared" si="0"/>
        <v>0</v>
      </c>
      <c r="I25" s="3">
        <f t="shared" si="1"/>
        <v>0</v>
      </c>
    </row>
    <row r="26" spans="1:9" x14ac:dyDescent="0.2">
      <c r="A26" s="1" t="s">
        <v>560</v>
      </c>
      <c r="B26" s="2">
        <v>100784</v>
      </c>
      <c r="C26" s="2" t="s">
        <v>584</v>
      </c>
      <c r="D26" s="3">
        <v>470180</v>
      </c>
      <c r="E26" s="3">
        <v>82751712</v>
      </c>
      <c r="F26" s="5"/>
      <c r="G26" s="5"/>
      <c r="H26" s="3">
        <f t="shared" si="0"/>
        <v>0</v>
      </c>
      <c r="I26" s="3">
        <f t="shared" si="1"/>
        <v>0</v>
      </c>
    </row>
    <row r="27" spans="1:9" x14ac:dyDescent="0.2">
      <c r="A27" s="1" t="s">
        <v>560</v>
      </c>
      <c r="B27" s="2">
        <v>100531</v>
      </c>
      <c r="C27" s="2" t="s">
        <v>585</v>
      </c>
      <c r="D27" s="3">
        <v>441291</v>
      </c>
      <c r="E27" s="3">
        <v>77667230</v>
      </c>
      <c r="F27" s="5"/>
      <c r="G27" s="5"/>
      <c r="H27" s="3">
        <f t="shared" si="0"/>
        <v>0</v>
      </c>
      <c r="I27" s="3">
        <f t="shared" si="1"/>
        <v>0</v>
      </c>
    </row>
    <row r="28" spans="1:9" x14ac:dyDescent="0.2">
      <c r="A28" s="1" t="s">
        <v>560</v>
      </c>
      <c r="B28" s="2">
        <v>20907</v>
      </c>
      <c r="C28" s="2" t="s">
        <v>586</v>
      </c>
      <c r="D28" s="3">
        <v>456237</v>
      </c>
      <c r="E28" s="3">
        <v>71661840</v>
      </c>
      <c r="F28" s="5"/>
      <c r="G28" s="5"/>
      <c r="H28" s="3">
        <f t="shared" si="0"/>
        <v>0</v>
      </c>
      <c r="I28" s="3">
        <f t="shared" si="1"/>
        <v>0</v>
      </c>
    </row>
    <row r="29" spans="1:9" x14ac:dyDescent="0.2">
      <c r="A29" s="1" t="s">
        <v>560</v>
      </c>
      <c r="B29" s="2">
        <v>101180</v>
      </c>
      <c r="C29" s="2" t="s">
        <v>587</v>
      </c>
      <c r="D29" s="3">
        <v>427198</v>
      </c>
      <c r="E29" s="3">
        <v>75186987</v>
      </c>
      <c r="F29" s="5"/>
      <c r="G29" s="5"/>
      <c r="H29" s="3">
        <f t="shared" si="0"/>
        <v>0</v>
      </c>
      <c r="I29" s="3">
        <f t="shared" si="1"/>
        <v>0</v>
      </c>
    </row>
    <row r="30" spans="1:9" x14ac:dyDescent="0.2">
      <c r="A30" s="1" t="s">
        <v>560</v>
      </c>
      <c r="B30" s="2">
        <v>100970</v>
      </c>
      <c r="C30" s="2" t="s">
        <v>588</v>
      </c>
      <c r="D30" s="3">
        <v>316711</v>
      </c>
      <c r="E30" s="3">
        <v>55741147</v>
      </c>
      <c r="F30" s="5"/>
      <c r="G30" s="5"/>
      <c r="H30" s="3">
        <f t="shared" si="0"/>
        <v>0</v>
      </c>
      <c r="I30" s="3">
        <f t="shared" si="1"/>
        <v>0</v>
      </c>
    </row>
    <row r="31" spans="1:9" x14ac:dyDescent="0.2">
      <c r="A31" s="1" t="s">
        <v>560</v>
      </c>
      <c r="B31" s="2">
        <v>100414</v>
      </c>
      <c r="C31" s="2" t="s">
        <v>589</v>
      </c>
      <c r="D31" s="3">
        <v>386586</v>
      </c>
      <c r="E31" s="3">
        <v>68039291</v>
      </c>
      <c r="F31" s="5"/>
      <c r="G31" s="5"/>
      <c r="H31" s="3">
        <f t="shared" si="0"/>
        <v>0</v>
      </c>
      <c r="I31" s="3">
        <f t="shared" si="1"/>
        <v>0</v>
      </c>
    </row>
    <row r="32" spans="1:9" x14ac:dyDescent="0.2">
      <c r="A32" s="1" t="s">
        <v>560</v>
      </c>
      <c r="B32" s="2">
        <v>100261</v>
      </c>
      <c r="C32" s="2" t="s">
        <v>590</v>
      </c>
      <c r="D32" s="3">
        <v>454779</v>
      </c>
      <c r="E32" s="3">
        <v>80041163</v>
      </c>
      <c r="F32" s="5"/>
      <c r="G32" s="5"/>
      <c r="H32" s="3">
        <f t="shared" si="0"/>
        <v>0</v>
      </c>
      <c r="I32" s="3">
        <f t="shared" si="1"/>
        <v>0</v>
      </c>
    </row>
    <row r="33" spans="1:9" x14ac:dyDescent="0.2">
      <c r="A33" s="1" t="s">
        <v>560</v>
      </c>
      <c r="B33" s="2">
        <v>101494</v>
      </c>
      <c r="C33" s="2" t="s">
        <v>591</v>
      </c>
      <c r="D33" s="3">
        <v>266802</v>
      </c>
      <c r="E33" s="3">
        <v>46957196</v>
      </c>
      <c r="F33" s="5"/>
      <c r="G33" s="5"/>
      <c r="H33" s="3">
        <f t="shared" si="0"/>
        <v>0</v>
      </c>
      <c r="I33" s="3">
        <f t="shared" si="1"/>
        <v>0</v>
      </c>
    </row>
    <row r="34" spans="1:9" x14ac:dyDescent="0.2">
      <c r="A34" s="1" t="s">
        <v>560</v>
      </c>
      <c r="B34" s="2">
        <v>100412</v>
      </c>
      <c r="C34" s="2" t="s">
        <v>592</v>
      </c>
      <c r="D34" s="3">
        <v>419217</v>
      </c>
      <c r="E34" s="3">
        <v>73782288</v>
      </c>
      <c r="F34" s="5"/>
      <c r="G34" s="5"/>
      <c r="H34" s="3">
        <f t="shared" si="0"/>
        <v>0</v>
      </c>
      <c r="I34" s="3">
        <f t="shared" si="1"/>
        <v>0</v>
      </c>
    </row>
    <row r="35" spans="1:9" x14ac:dyDescent="0.2">
      <c r="A35" s="1" t="s">
        <v>560</v>
      </c>
      <c r="B35" s="2">
        <v>100895</v>
      </c>
      <c r="C35" s="2" t="s">
        <v>593</v>
      </c>
      <c r="D35" s="3">
        <v>495881</v>
      </c>
      <c r="E35" s="3">
        <v>87275064</v>
      </c>
      <c r="F35" s="5"/>
      <c r="G35" s="5"/>
      <c r="H35" s="3">
        <f t="shared" ref="H35:H60" si="2">F35*D35</f>
        <v>0</v>
      </c>
      <c r="I35" s="3">
        <f t="shared" ref="I35:I60" si="3">(G35*E35)/100</f>
        <v>0</v>
      </c>
    </row>
    <row r="36" spans="1:9" x14ac:dyDescent="0.2">
      <c r="A36" s="1" t="s">
        <v>560</v>
      </c>
      <c r="B36" s="2">
        <v>100734</v>
      </c>
      <c r="C36" s="2" t="s">
        <v>594</v>
      </c>
      <c r="D36" s="3">
        <v>468145</v>
      </c>
      <c r="E36" s="3">
        <v>82393626</v>
      </c>
      <c r="F36" s="5"/>
      <c r="G36" s="5"/>
      <c r="H36" s="3">
        <f t="shared" si="2"/>
        <v>0</v>
      </c>
      <c r="I36" s="3">
        <f t="shared" si="3"/>
        <v>0</v>
      </c>
    </row>
    <row r="37" spans="1:9" x14ac:dyDescent="0.2">
      <c r="A37" s="1" t="s">
        <v>560</v>
      </c>
      <c r="B37" s="2">
        <v>100736</v>
      </c>
      <c r="C37" s="2" t="s">
        <v>595</v>
      </c>
      <c r="D37" s="3">
        <v>469654</v>
      </c>
      <c r="E37" s="3">
        <v>82659221</v>
      </c>
      <c r="F37" s="5"/>
      <c r="G37" s="5"/>
      <c r="H37" s="3">
        <f t="shared" si="2"/>
        <v>0</v>
      </c>
      <c r="I37" s="3">
        <f t="shared" si="3"/>
        <v>0</v>
      </c>
    </row>
    <row r="38" spans="1:9" x14ac:dyDescent="0.2">
      <c r="A38" s="1" t="s">
        <v>560</v>
      </c>
      <c r="B38" s="2">
        <v>100489</v>
      </c>
      <c r="C38" s="2" t="s">
        <v>596</v>
      </c>
      <c r="D38" s="3">
        <v>389722</v>
      </c>
      <c r="E38" s="3">
        <v>68591195</v>
      </c>
      <c r="F38" s="5"/>
      <c r="G38" s="5"/>
      <c r="H38" s="3">
        <f t="shared" si="2"/>
        <v>0</v>
      </c>
      <c r="I38" s="3">
        <f t="shared" si="3"/>
        <v>0</v>
      </c>
    </row>
    <row r="39" spans="1:9" x14ac:dyDescent="0.2">
      <c r="A39" s="1" t="s">
        <v>560</v>
      </c>
      <c r="B39" s="2">
        <v>101009</v>
      </c>
      <c r="C39" s="2" t="s">
        <v>597</v>
      </c>
      <c r="D39" s="3">
        <v>263646</v>
      </c>
      <c r="E39" s="3">
        <v>46401861</v>
      </c>
      <c r="F39" s="5"/>
      <c r="G39" s="5"/>
      <c r="H39" s="3">
        <f t="shared" si="2"/>
        <v>0</v>
      </c>
      <c r="I39" s="3">
        <f t="shared" si="3"/>
        <v>0</v>
      </c>
    </row>
    <row r="40" spans="1:9" x14ac:dyDescent="0.2">
      <c r="A40" s="1" t="s">
        <v>560</v>
      </c>
      <c r="B40" s="2">
        <v>101083</v>
      </c>
      <c r="C40" s="2" t="s">
        <v>598</v>
      </c>
      <c r="D40" s="3">
        <v>320223</v>
      </c>
      <c r="E40" s="3">
        <v>56359259</v>
      </c>
      <c r="F40" s="5"/>
      <c r="G40" s="5"/>
      <c r="H40" s="3">
        <f t="shared" si="2"/>
        <v>0</v>
      </c>
      <c r="I40" s="3">
        <f t="shared" si="3"/>
        <v>0</v>
      </c>
    </row>
    <row r="41" spans="1:9" x14ac:dyDescent="0.2">
      <c r="A41" s="1" t="s">
        <v>560</v>
      </c>
      <c r="B41" s="2">
        <v>101348</v>
      </c>
      <c r="C41" s="2" t="s">
        <v>599</v>
      </c>
      <c r="D41" s="3">
        <v>403458</v>
      </c>
      <c r="E41" s="3">
        <v>71008766</v>
      </c>
      <c r="F41" s="5"/>
      <c r="G41" s="5"/>
      <c r="H41" s="3">
        <f t="shared" si="2"/>
        <v>0</v>
      </c>
      <c r="I41" s="3">
        <f t="shared" si="3"/>
        <v>0</v>
      </c>
    </row>
    <row r="42" spans="1:9" x14ac:dyDescent="0.2">
      <c r="A42" s="1" t="s">
        <v>560</v>
      </c>
      <c r="B42" s="2">
        <v>101261</v>
      </c>
      <c r="C42" s="2" t="s">
        <v>600</v>
      </c>
      <c r="D42" s="3">
        <v>365930</v>
      </c>
      <c r="E42" s="3">
        <v>64403729</v>
      </c>
      <c r="F42" s="5"/>
      <c r="G42" s="5"/>
      <c r="H42" s="3">
        <f t="shared" si="2"/>
        <v>0</v>
      </c>
      <c r="I42" s="3">
        <f t="shared" si="3"/>
        <v>0</v>
      </c>
    </row>
    <row r="43" spans="1:9" x14ac:dyDescent="0.2">
      <c r="A43" s="1" t="s">
        <v>560</v>
      </c>
      <c r="B43" s="2">
        <v>101448</v>
      </c>
      <c r="C43" s="2" t="s">
        <v>601</v>
      </c>
      <c r="D43" s="3">
        <v>370714</v>
      </c>
      <c r="E43" s="3">
        <v>65245785</v>
      </c>
      <c r="F43" s="5"/>
      <c r="G43" s="5"/>
      <c r="H43" s="3">
        <f t="shared" si="2"/>
        <v>0</v>
      </c>
      <c r="I43" s="3">
        <f t="shared" si="3"/>
        <v>0</v>
      </c>
    </row>
    <row r="44" spans="1:9" x14ac:dyDescent="0.2">
      <c r="A44" s="1" t="s">
        <v>560</v>
      </c>
      <c r="B44" s="2">
        <v>101724</v>
      </c>
      <c r="C44" s="2" t="s">
        <v>602</v>
      </c>
      <c r="D44" s="3">
        <v>334743</v>
      </c>
      <c r="E44" s="3">
        <v>58914894</v>
      </c>
      <c r="F44" s="5"/>
      <c r="G44" s="5"/>
      <c r="H44" s="3">
        <f t="shared" si="2"/>
        <v>0</v>
      </c>
      <c r="I44" s="3">
        <f t="shared" si="3"/>
        <v>0</v>
      </c>
    </row>
    <row r="45" spans="1:9" x14ac:dyDescent="0.2">
      <c r="A45" s="1" t="s">
        <v>560</v>
      </c>
      <c r="B45" s="2">
        <v>100447</v>
      </c>
      <c r="C45" s="2" t="s">
        <v>603</v>
      </c>
      <c r="D45" s="3">
        <v>499911</v>
      </c>
      <c r="E45" s="3">
        <v>87984380</v>
      </c>
      <c r="F45" s="5"/>
      <c r="G45" s="5"/>
      <c r="H45" s="3">
        <f t="shared" si="2"/>
        <v>0</v>
      </c>
      <c r="I45" s="3">
        <f t="shared" si="3"/>
        <v>0</v>
      </c>
    </row>
    <row r="46" spans="1:9" x14ac:dyDescent="0.2">
      <c r="A46" s="1" t="s">
        <v>560</v>
      </c>
      <c r="B46" s="2">
        <v>101037</v>
      </c>
      <c r="C46" s="2" t="s">
        <v>604</v>
      </c>
      <c r="D46" s="3">
        <v>456237</v>
      </c>
      <c r="E46" s="3">
        <v>71661840</v>
      </c>
      <c r="F46" s="5"/>
      <c r="G46" s="5"/>
      <c r="H46" s="3">
        <f t="shared" si="2"/>
        <v>0</v>
      </c>
      <c r="I46" s="3">
        <f t="shared" si="3"/>
        <v>0</v>
      </c>
    </row>
    <row r="47" spans="1:9" x14ac:dyDescent="0.2">
      <c r="A47" s="1" t="s">
        <v>560</v>
      </c>
      <c r="B47" s="2">
        <v>101394</v>
      </c>
      <c r="C47" s="2" t="s">
        <v>605</v>
      </c>
      <c r="D47" s="3">
        <v>353807</v>
      </c>
      <c r="E47" s="3">
        <v>62270057</v>
      </c>
      <c r="F47" s="5"/>
      <c r="G47" s="5"/>
      <c r="H47" s="3">
        <f t="shared" si="2"/>
        <v>0</v>
      </c>
      <c r="I47" s="3">
        <f t="shared" si="3"/>
        <v>0</v>
      </c>
    </row>
    <row r="48" spans="1:9" x14ac:dyDescent="0.2">
      <c r="A48" s="1" t="s">
        <v>560</v>
      </c>
      <c r="B48" s="2">
        <v>230141</v>
      </c>
      <c r="C48" s="2" t="s">
        <v>606</v>
      </c>
      <c r="D48" s="3">
        <v>369193</v>
      </c>
      <c r="E48" s="3">
        <v>64978134</v>
      </c>
      <c r="F48" s="5"/>
      <c r="G48" s="5"/>
      <c r="H48" s="3">
        <f t="shared" si="2"/>
        <v>0</v>
      </c>
      <c r="I48" s="3">
        <f t="shared" si="3"/>
        <v>0</v>
      </c>
    </row>
    <row r="49" spans="1:9" x14ac:dyDescent="0.2">
      <c r="A49" s="1" t="s">
        <v>560</v>
      </c>
      <c r="B49" s="2">
        <v>100417</v>
      </c>
      <c r="C49" s="2" t="s">
        <v>607</v>
      </c>
      <c r="D49" s="3">
        <v>443276</v>
      </c>
      <c r="E49" s="3">
        <v>78016640</v>
      </c>
      <c r="F49" s="5"/>
      <c r="G49" s="5"/>
      <c r="H49" s="3">
        <f t="shared" si="2"/>
        <v>0</v>
      </c>
      <c r="I49" s="3">
        <f t="shared" si="3"/>
        <v>0</v>
      </c>
    </row>
    <row r="50" spans="1:9" x14ac:dyDescent="0.2">
      <c r="A50" s="1" t="s">
        <v>560</v>
      </c>
      <c r="B50" s="2">
        <v>101411</v>
      </c>
      <c r="C50" s="2" t="s">
        <v>608</v>
      </c>
      <c r="D50" s="3">
        <v>411319</v>
      </c>
      <c r="E50" s="3">
        <v>72392155</v>
      </c>
      <c r="F50" s="5"/>
      <c r="G50" s="5"/>
      <c r="H50" s="3">
        <f t="shared" si="2"/>
        <v>0</v>
      </c>
      <c r="I50" s="3">
        <f t="shared" si="3"/>
        <v>0</v>
      </c>
    </row>
    <row r="51" spans="1:9" x14ac:dyDescent="0.2">
      <c r="A51" s="1" t="s">
        <v>560</v>
      </c>
      <c r="B51" s="2">
        <v>101445</v>
      </c>
      <c r="C51" s="2" t="s">
        <v>609</v>
      </c>
      <c r="D51" s="3">
        <v>343453</v>
      </c>
      <c r="E51" s="3">
        <v>60447743</v>
      </c>
      <c r="F51" s="5"/>
      <c r="G51" s="5"/>
      <c r="H51" s="3">
        <f t="shared" si="2"/>
        <v>0</v>
      </c>
      <c r="I51" s="3">
        <f t="shared" si="3"/>
        <v>0</v>
      </c>
    </row>
    <row r="52" spans="1:9" x14ac:dyDescent="0.2">
      <c r="A52" s="1" t="s">
        <v>560</v>
      </c>
      <c r="B52" s="2">
        <v>101273</v>
      </c>
      <c r="C52" s="2" t="s">
        <v>610</v>
      </c>
      <c r="D52" s="3">
        <v>427441</v>
      </c>
      <c r="E52" s="3">
        <v>75229623</v>
      </c>
      <c r="F52" s="5"/>
      <c r="G52" s="5"/>
      <c r="H52" s="3">
        <f t="shared" si="2"/>
        <v>0</v>
      </c>
      <c r="I52" s="3">
        <f t="shared" si="3"/>
        <v>0</v>
      </c>
    </row>
    <row r="53" spans="1:9" x14ac:dyDescent="0.2">
      <c r="A53" s="1" t="s">
        <v>560</v>
      </c>
      <c r="B53" s="2">
        <v>100774</v>
      </c>
      <c r="C53" s="2" t="s">
        <v>611</v>
      </c>
      <c r="D53" s="3">
        <v>468956</v>
      </c>
      <c r="E53" s="3">
        <v>82536296</v>
      </c>
      <c r="F53" s="5"/>
      <c r="G53" s="5"/>
      <c r="H53" s="3">
        <f t="shared" si="2"/>
        <v>0</v>
      </c>
      <c r="I53" s="3">
        <f t="shared" si="3"/>
        <v>0</v>
      </c>
    </row>
    <row r="54" spans="1:9" x14ac:dyDescent="0.2">
      <c r="A54" s="1" t="s">
        <v>560</v>
      </c>
      <c r="B54" s="2">
        <v>100418</v>
      </c>
      <c r="C54" s="2" t="s">
        <v>612</v>
      </c>
      <c r="D54" s="3">
        <v>484570</v>
      </c>
      <c r="E54" s="3">
        <v>85284334</v>
      </c>
      <c r="F54" s="5"/>
      <c r="G54" s="5"/>
      <c r="H54" s="3">
        <f t="shared" si="2"/>
        <v>0</v>
      </c>
      <c r="I54" s="3">
        <f t="shared" si="3"/>
        <v>0</v>
      </c>
    </row>
    <row r="55" spans="1:9" x14ac:dyDescent="0.2">
      <c r="A55" s="1" t="s">
        <v>560</v>
      </c>
      <c r="B55" s="2">
        <v>100497</v>
      </c>
      <c r="C55" s="2" t="s">
        <v>613</v>
      </c>
      <c r="D55" s="3">
        <v>415609</v>
      </c>
      <c r="E55" s="3">
        <v>73147358</v>
      </c>
      <c r="F55" s="5"/>
      <c r="G55" s="5"/>
      <c r="H55" s="3">
        <f t="shared" si="2"/>
        <v>0</v>
      </c>
      <c r="I55" s="3">
        <f t="shared" si="3"/>
        <v>0</v>
      </c>
    </row>
    <row r="56" spans="1:9" x14ac:dyDescent="0.2">
      <c r="A56" s="1" t="s">
        <v>560</v>
      </c>
      <c r="B56" s="2">
        <v>101094</v>
      </c>
      <c r="C56" s="2" t="s">
        <v>614</v>
      </c>
      <c r="D56" s="3">
        <v>435901</v>
      </c>
      <c r="E56" s="3">
        <v>76718664</v>
      </c>
      <c r="F56" s="5"/>
      <c r="G56" s="5"/>
      <c r="H56" s="3">
        <f t="shared" si="2"/>
        <v>0</v>
      </c>
      <c r="I56" s="3">
        <f t="shared" si="3"/>
        <v>0</v>
      </c>
    </row>
    <row r="57" spans="1:9" x14ac:dyDescent="0.2">
      <c r="A57" s="1" t="s">
        <v>560</v>
      </c>
      <c r="B57" s="2">
        <v>100416</v>
      </c>
      <c r="C57" s="2" t="s">
        <v>615</v>
      </c>
      <c r="D57" s="3">
        <v>409396</v>
      </c>
      <c r="E57" s="3">
        <v>72053840</v>
      </c>
      <c r="F57" s="5"/>
      <c r="G57" s="5"/>
      <c r="H57" s="3">
        <f t="shared" si="2"/>
        <v>0</v>
      </c>
      <c r="I57" s="3">
        <f t="shared" si="3"/>
        <v>0</v>
      </c>
    </row>
    <row r="58" spans="1:9" x14ac:dyDescent="0.2">
      <c r="A58" s="1" t="s">
        <v>560</v>
      </c>
      <c r="B58" s="2">
        <v>101135</v>
      </c>
      <c r="C58" s="2" t="s">
        <v>616</v>
      </c>
      <c r="D58" s="3">
        <v>475623</v>
      </c>
      <c r="E58" s="3">
        <v>83709779</v>
      </c>
      <c r="F58" s="5"/>
      <c r="G58" s="5"/>
      <c r="H58" s="3">
        <f t="shared" si="2"/>
        <v>0</v>
      </c>
      <c r="I58" s="3">
        <f t="shared" si="3"/>
        <v>0</v>
      </c>
    </row>
    <row r="59" spans="1:9" x14ac:dyDescent="0.2">
      <c r="A59" s="1" t="s">
        <v>560</v>
      </c>
      <c r="B59" s="2">
        <v>100320</v>
      </c>
      <c r="C59" s="2" t="s">
        <v>617</v>
      </c>
      <c r="D59" s="3">
        <v>458472</v>
      </c>
      <c r="E59" s="3">
        <v>80691166</v>
      </c>
      <c r="F59" s="5"/>
      <c r="G59" s="5"/>
      <c r="H59" s="3">
        <f t="shared" si="2"/>
        <v>0</v>
      </c>
      <c r="I59" s="3">
        <f t="shared" si="3"/>
        <v>0</v>
      </c>
    </row>
    <row r="60" spans="1:9" x14ac:dyDescent="0.2">
      <c r="A60" s="1" t="s">
        <v>560</v>
      </c>
      <c r="B60" s="2">
        <v>101392</v>
      </c>
      <c r="C60" s="2" t="s">
        <v>618</v>
      </c>
      <c r="D60" s="3">
        <v>353677</v>
      </c>
      <c r="E60" s="3">
        <v>62247179</v>
      </c>
      <c r="F60" s="5"/>
      <c r="G60" s="5"/>
      <c r="H60" s="3">
        <f t="shared" si="2"/>
        <v>0</v>
      </c>
      <c r="I60" s="3">
        <f t="shared" si="3"/>
        <v>0</v>
      </c>
    </row>
    <row r="61" spans="1:9" x14ac:dyDescent="0.2">
      <c r="H61" s="9">
        <f t="shared" ref="H61:I61" si="4">SUM(H3:H60)</f>
        <v>0</v>
      </c>
      <c r="I61" s="9">
        <f t="shared" si="4"/>
        <v>0</v>
      </c>
    </row>
  </sheetData>
  <mergeCells count="1">
    <mergeCell ref="A1:I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C36A-80B5-4B30-AC54-85172676DCA7}">
  <dimension ref="A1:K18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>
        <v>1601</v>
      </c>
      <c r="B3" s="2">
        <v>100790</v>
      </c>
      <c r="C3" s="2" t="s">
        <v>619</v>
      </c>
      <c r="D3" s="3">
        <v>451589</v>
      </c>
      <c r="E3" s="3">
        <v>79479778</v>
      </c>
      <c r="F3" s="5"/>
      <c r="G3" s="5"/>
      <c r="H3" s="3">
        <f t="shared" ref="H3:H17" si="0">F3*D3</f>
        <v>0</v>
      </c>
      <c r="I3" s="3">
        <f t="shared" ref="I3:I17" si="1">(G3*E3)/100</f>
        <v>0</v>
      </c>
    </row>
    <row r="4" spans="1:11" x14ac:dyDescent="0.2">
      <c r="A4" s="1">
        <v>1601</v>
      </c>
      <c r="B4" s="2">
        <v>101161</v>
      </c>
      <c r="C4" s="2" t="s">
        <v>620</v>
      </c>
      <c r="D4" s="3">
        <v>444087</v>
      </c>
      <c r="E4" s="3">
        <v>78159392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>
        <v>1601</v>
      </c>
      <c r="B5" s="2">
        <v>101894</v>
      </c>
      <c r="C5" s="2" t="s">
        <v>621</v>
      </c>
      <c r="D5" s="3">
        <v>226359</v>
      </c>
      <c r="E5" s="3">
        <v>39839250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>
        <v>1601</v>
      </c>
      <c r="B6" s="2">
        <v>100727</v>
      </c>
      <c r="C6" s="2" t="s">
        <v>622</v>
      </c>
      <c r="D6" s="3">
        <v>455760</v>
      </c>
      <c r="E6" s="3">
        <v>80213930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567013960</v>
      </c>
    </row>
    <row r="7" spans="1:11" ht="22.5" x14ac:dyDescent="0.6">
      <c r="A7" s="1">
        <v>1601</v>
      </c>
      <c r="B7" s="2">
        <v>101380</v>
      </c>
      <c r="C7" s="2" t="s">
        <v>623</v>
      </c>
      <c r="D7" s="3">
        <v>410228</v>
      </c>
      <c r="E7" s="3">
        <v>72200131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682805176</v>
      </c>
    </row>
    <row r="8" spans="1:11" x14ac:dyDescent="0.2">
      <c r="A8" s="1">
        <v>1601</v>
      </c>
      <c r="B8" s="2">
        <v>100282</v>
      </c>
      <c r="C8" s="2" t="s">
        <v>624</v>
      </c>
      <c r="D8" s="3">
        <v>536073</v>
      </c>
      <c r="E8" s="3">
        <v>94349002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>
        <v>1601</v>
      </c>
      <c r="B9" s="2">
        <v>100514</v>
      </c>
      <c r="C9" s="2" t="s">
        <v>625</v>
      </c>
      <c r="D9" s="3">
        <v>525112</v>
      </c>
      <c r="E9" s="3">
        <v>92419828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>
        <v>1601</v>
      </c>
      <c r="B10" s="2">
        <v>101136</v>
      </c>
      <c r="C10" s="2" t="s">
        <v>626</v>
      </c>
      <c r="D10" s="3">
        <v>422211</v>
      </c>
      <c r="E10" s="3">
        <v>74309281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>
        <v>1601</v>
      </c>
      <c r="B11" s="2">
        <v>100887</v>
      </c>
      <c r="C11" s="2" t="s">
        <v>627</v>
      </c>
      <c r="D11" s="3">
        <v>524056</v>
      </c>
      <c r="E11" s="3">
        <v>92233900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>
        <v>1601</v>
      </c>
      <c r="B12" s="2">
        <v>100969</v>
      </c>
      <c r="C12" s="2" t="s">
        <v>628</v>
      </c>
      <c r="D12" s="3">
        <v>300961</v>
      </c>
      <c r="E12" s="3">
        <v>52969301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>
        <v>1601</v>
      </c>
      <c r="B13" s="2">
        <v>101932</v>
      </c>
      <c r="C13" s="2" t="s">
        <v>629</v>
      </c>
      <c r="D13" s="3">
        <v>226359</v>
      </c>
      <c r="E13" s="3">
        <v>39839250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>
        <v>1601</v>
      </c>
      <c r="B14" s="2">
        <v>101791</v>
      </c>
      <c r="C14" s="2" t="s">
        <v>630</v>
      </c>
      <c r="D14" s="3">
        <v>280027</v>
      </c>
      <c r="E14" s="3">
        <v>49284774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>
        <v>1601</v>
      </c>
      <c r="B15" s="2">
        <v>101727</v>
      </c>
      <c r="C15" s="2" t="s">
        <v>631</v>
      </c>
      <c r="D15" s="3">
        <v>386415</v>
      </c>
      <c r="E15" s="3">
        <v>68009168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>
        <v>1601</v>
      </c>
      <c r="B16" s="2">
        <v>101188</v>
      </c>
      <c r="C16" s="2" t="s">
        <v>632</v>
      </c>
      <c r="D16" s="3">
        <v>441384</v>
      </c>
      <c r="E16" s="3">
        <v>77683724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>
        <v>1601</v>
      </c>
      <c r="B17" s="2">
        <v>101764</v>
      </c>
      <c r="C17" s="2" t="s">
        <v>633</v>
      </c>
      <c r="D17" s="3">
        <v>337947</v>
      </c>
      <c r="E17" s="3">
        <v>59478793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H18" s="9">
        <f t="shared" ref="H18:I18" si="2">SUM(H3:H17)</f>
        <v>0</v>
      </c>
      <c r="I18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61F26-D2ED-4C73-8C96-766BDB55BF4E}">
  <dimension ref="A1:K17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>
        <v>1614</v>
      </c>
      <c r="B3" s="2">
        <v>100907</v>
      </c>
      <c r="C3" s="2" t="s">
        <v>634</v>
      </c>
      <c r="D3" s="3">
        <v>479324</v>
      </c>
      <c r="E3" s="3">
        <v>84361134</v>
      </c>
      <c r="F3" s="5"/>
      <c r="G3" s="5"/>
      <c r="H3" s="3">
        <f t="shared" ref="H3:H16" si="0">F3*D3</f>
        <v>0</v>
      </c>
      <c r="I3" s="3">
        <f t="shared" ref="I3:I16" si="1">(G3*E3)/100</f>
        <v>0</v>
      </c>
    </row>
    <row r="4" spans="1:11" x14ac:dyDescent="0.2">
      <c r="A4" s="1">
        <v>1614</v>
      </c>
      <c r="B4" s="2">
        <v>100924</v>
      </c>
      <c r="C4" s="2" t="s">
        <v>635</v>
      </c>
      <c r="D4" s="3">
        <v>478432</v>
      </c>
      <c r="E4" s="3">
        <v>84204190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>
        <v>1614</v>
      </c>
      <c r="B5" s="2">
        <v>100842</v>
      </c>
      <c r="C5" s="2" t="s">
        <v>636</v>
      </c>
      <c r="D5" s="3">
        <v>451241</v>
      </c>
      <c r="E5" s="3">
        <v>79418435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>
        <v>1614</v>
      </c>
      <c r="B6" s="2">
        <v>100583</v>
      </c>
      <c r="C6" s="2" t="s">
        <v>637</v>
      </c>
      <c r="D6" s="3">
        <v>462302</v>
      </c>
      <c r="E6" s="3">
        <v>81365170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575849530</v>
      </c>
    </row>
    <row r="7" spans="1:11" ht="22.5" x14ac:dyDescent="0.6">
      <c r="A7" s="1">
        <v>1614</v>
      </c>
      <c r="B7" s="2">
        <v>100950</v>
      </c>
      <c r="C7" s="2" t="s">
        <v>638</v>
      </c>
      <c r="D7" s="3">
        <v>264991</v>
      </c>
      <c r="E7" s="3">
        <v>46638482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672108116</v>
      </c>
    </row>
    <row r="8" spans="1:11" x14ac:dyDescent="0.2">
      <c r="A8" s="1">
        <v>1614</v>
      </c>
      <c r="B8" s="2">
        <v>101872</v>
      </c>
      <c r="C8" s="2" t="s">
        <v>639</v>
      </c>
      <c r="D8" s="3">
        <v>226359</v>
      </c>
      <c r="E8" s="3">
        <v>39839250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>
        <v>1614</v>
      </c>
      <c r="B9" s="2">
        <v>100680</v>
      </c>
      <c r="C9" s="2" t="s">
        <v>640</v>
      </c>
      <c r="D9" s="3">
        <v>456258</v>
      </c>
      <c r="E9" s="3">
        <v>80301438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>
        <v>1614</v>
      </c>
      <c r="B10" s="2">
        <v>100545</v>
      </c>
      <c r="C10" s="2" t="s">
        <v>641</v>
      </c>
      <c r="D10" s="3">
        <v>538460</v>
      </c>
      <c r="E10" s="3">
        <v>94769125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>
        <v>1614</v>
      </c>
      <c r="B11" s="2">
        <v>100982</v>
      </c>
      <c r="C11" s="2" t="s">
        <v>642</v>
      </c>
      <c r="D11" s="3">
        <v>477980</v>
      </c>
      <c r="E11" s="3">
        <v>84124618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>
        <v>1614</v>
      </c>
      <c r="B12" s="2">
        <v>101792</v>
      </c>
      <c r="C12" s="2" t="s">
        <v>643</v>
      </c>
      <c r="D12" s="3">
        <v>259284</v>
      </c>
      <c r="E12" s="3">
        <v>45634050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>
        <v>1614</v>
      </c>
      <c r="B13" s="2">
        <v>100568</v>
      </c>
      <c r="C13" s="2" t="s">
        <v>644</v>
      </c>
      <c r="D13" s="3">
        <v>459251</v>
      </c>
      <c r="E13" s="3">
        <v>80828290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>
        <v>1614</v>
      </c>
      <c r="B14" s="2">
        <v>101350</v>
      </c>
      <c r="C14" s="2" t="s">
        <v>645</v>
      </c>
      <c r="D14" s="3">
        <v>443814</v>
      </c>
      <c r="E14" s="3">
        <v>78111344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>
        <v>1614</v>
      </c>
      <c r="B15" s="2">
        <v>100269</v>
      </c>
      <c r="C15" s="2" t="s">
        <v>646</v>
      </c>
      <c r="D15" s="3">
        <v>511452</v>
      </c>
      <c r="E15" s="3">
        <v>90015667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>
        <v>1614</v>
      </c>
      <c r="B16" s="2">
        <v>100390</v>
      </c>
      <c r="C16" s="2" t="s">
        <v>647</v>
      </c>
      <c r="D16" s="3">
        <v>552426</v>
      </c>
      <c r="E16" s="3">
        <v>97227086</v>
      </c>
      <c r="F16" s="5"/>
      <c r="G16" s="5"/>
      <c r="H16" s="3">
        <f t="shared" si="0"/>
        <v>0</v>
      </c>
      <c r="I16" s="3">
        <f t="shared" si="1"/>
        <v>0</v>
      </c>
    </row>
    <row r="17" spans="8:9" x14ac:dyDescent="0.2">
      <c r="H17" s="9">
        <f>SUM(H3:H16)</f>
        <v>0</v>
      </c>
      <c r="I17" s="9">
        <f t="shared" ref="I17" si="2">SUM(I3:I16)</f>
        <v>0</v>
      </c>
    </row>
  </sheetData>
  <mergeCells count="1">
    <mergeCell ref="A1:I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D7E75-9F0E-422E-BF47-59D696C69EEA}">
  <dimension ref="A1:K20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>
        <v>1618</v>
      </c>
      <c r="B3" s="2">
        <v>101953</v>
      </c>
      <c r="C3" s="2" t="s">
        <v>648</v>
      </c>
      <c r="D3" s="3">
        <v>226359</v>
      </c>
      <c r="E3" s="3">
        <v>39839250</v>
      </c>
      <c r="F3" s="5"/>
      <c r="G3" s="5"/>
      <c r="H3" s="3">
        <f t="shared" ref="H3:H19" si="0">F3*D3</f>
        <v>0</v>
      </c>
      <c r="I3" s="3">
        <f t="shared" ref="I3:I19" si="1">(G3*E3)/100</f>
        <v>0</v>
      </c>
    </row>
    <row r="4" spans="1:11" x14ac:dyDescent="0.2">
      <c r="A4" s="1">
        <v>1618</v>
      </c>
      <c r="B4" s="2">
        <v>101298</v>
      </c>
      <c r="C4" s="2" t="s">
        <v>649</v>
      </c>
      <c r="D4" s="3">
        <v>442890</v>
      </c>
      <c r="E4" s="3">
        <v>77948697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>
        <v>1618</v>
      </c>
      <c r="B5" s="2">
        <v>100712</v>
      </c>
      <c r="C5" s="2" t="s">
        <v>650</v>
      </c>
      <c r="D5" s="3">
        <v>486022</v>
      </c>
      <c r="E5" s="3">
        <v>85540042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>
        <v>1618</v>
      </c>
      <c r="B6" s="2">
        <v>101928</v>
      </c>
      <c r="C6" s="2" t="s">
        <v>651</v>
      </c>
      <c r="D6" s="3">
        <v>255168</v>
      </c>
      <c r="E6" s="3">
        <v>44909700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733976900</v>
      </c>
    </row>
    <row r="7" spans="1:11" ht="22.5" x14ac:dyDescent="0.6">
      <c r="A7" s="1">
        <v>1618</v>
      </c>
      <c r="B7" s="2">
        <v>100835</v>
      </c>
      <c r="C7" s="2" t="s">
        <v>652</v>
      </c>
      <c r="D7" s="3">
        <v>481845</v>
      </c>
      <c r="E7" s="3">
        <v>84804839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852588782</v>
      </c>
    </row>
    <row r="8" spans="1:11" x14ac:dyDescent="0.2">
      <c r="A8" s="1">
        <v>1618</v>
      </c>
      <c r="B8" s="2">
        <v>101446</v>
      </c>
      <c r="C8" s="2" t="s">
        <v>653</v>
      </c>
      <c r="D8" s="3">
        <v>441913</v>
      </c>
      <c r="E8" s="3">
        <v>77776742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>
        <v>1618</v>
      </c>
      <c r="B9" s="2">
        <v>100794</v>
      </c>
      <c r="C9" s="2" t="s">
        <v>654</v>
      </c>
      <c r="D9" s="3">
        <v>482043</v>
      </c>
      <c r="E9" s="3">
        <v>84839742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>
        <v>1618</v>
      </c>
      <c r="B10" s="2">
        <v>101015</v>
      </c>
      <c r="C10" s="2" t="s">
        <v>655</v>
      </c>
      <c r="D10" s="3">
        <v>391875</v>
      </c>
      <c r="E10" s="3">
        <v>68970139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>
        <v>1618</v>
      </c>
      <c r="B11" s="2">
        <v>101421</v>
      </c>
      <c r="C11" s="2" t="s">
        <v>656</v>
      </c>
      <c r="D11" s="3">
        <v>406661</v>
      </c>
      <c r="E11" s="3">
        <v>71572469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>
        <v>1618</v>
      </c>
      <c r="B12" s="2">
        <v>101178</v>
      </c>
      <c r="C12" s="2" t="s">
        <v>657</v>
      </c>
      <c r="D12" s="3">
        <v>441593</v>
      </c>
      <c r="E12" s="3">
        <v>77720467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>
        <v>1618</v>
      </c>
      <c r="B13" s="2">
        <v>101115</v>
      </c>
      <c r="C13" s="2" t="s">
        <v>448</v>
      </c>
      <c r="D13" s="3">
        <v>457407</v>
      </c>
      <c r="E13" s="3">
        <v>80503729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>
        <v>1618</v>
      </c>
      <c r="B14" s="2">
        <v>100325</v>
      </c>
      <c r="C14" s="2" t="s">
        <v>658</v>
      </c>
      <c r="D14" s="3">
        <v>510707</v>
      </c>
      <c r="E14" s="3">
        <v>89884603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>
        <v>1618</v>
      </c>
      <c r="B15" s="2">
        <v>101793</v>
      </c>
      <c r="C15" s="2" t="s">
        <v>659</v>
      </c>
      <c r="D15" s="3">
        <v>302498</v>
      </c>
      <c r="E15" s="3">
        <v>53239725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>
        <v>1618</v>
      </c>
      <c r="B16" s="2">
        <v>100834</v>
      </c>
      <c r="C16" s="2" t="s">
        <v>660</v>
      </c>
      <c r="D16" s="3">
        <v>480840</v>
      </c>
      <c r="E16" s="3">
        <v>84627947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>
        <v>1618</v>
      </c>
      <c r="B17" s="2">
        <v>100711</v>
      </c>
      <c r="C17" s="2" t="s">
        <v>661</v>
      </c>
      <c r="D17" s="3">
        <v>513980</v>
      </c>
      <c r="E17" s="3">
        <v>90460531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>
        <v>1618</v>
      </c>
      <c r="B18" s="2">
        <v>100511</v>
      </c>
      <c r="C18" s="2" t="s">
        <v>662</v>
      </c>
      <c r="D18" s="3">
        <v>538460</v>
      </c>
      <c r="E18" s="3">
        <v>94769125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>
        <v>1618</v>
      </c>
      <c r="B19" s="2">
        <v>617836</v>
      </c>
      <c r="C19" s="2" t="s">
        <v>663</v>
      </c>
      <c r="D19" s="3">
        <v>479508</v>
      </c>
      <c r="E19" s="3">
        <v>84393438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H20" s="9">
        <f t="shared" ref="H20:I20" si="2">SUM(H3:H19)</f>
        <v>0</v>
      </c>
      <c r="I20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6AB5-EF47-45EB-83F4-F43B2E8A8A8F}">
  <dimension ref="A1:K15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664</v>
      </c>
      <c r="B3" s="2">
        <v>101318</v>
      </c>
      <c r="C3" s="2" t="s">
        <v>665</v>
      </c>
      <c r="D3" s="3">
        <v>366577</v>
      </c>
      <c r="E3" s="3">
        <v>64517634</v>
      </c>
      <c r="F3" s="5"/>
      <c r="G3" s="5"/>
      <c r="H3" s="3">
        <f t="shared" ref="H3:H14" si="0">F3*D3</f>
        <v>0</v>
      </c>
      <c r="I3" s="3">
        <f t="shared" ref="I3:I14" si="1">(G3*E3)/100</f>
        <v>0</v>
      </c>
    </row>
    <row r="4" spans="1:11" x14ac:dyDescent="0.2">
      <c r="A4" s="1" t="s">
        <v>664</v>
      </c>
      <c r="B4" s="2">
        <v>100919</v>
      </c>
      <c r="C4" s="2" t="s">
        <v>666</v>
      </c>
      <c r="D4" s="3">
        <v>425540</v>
      </c>
      <c r="E4" s="3">
        <v>74895191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664</v>
      </c>
      <c r="B5" s="2">
        <v>101268</v>
      </c>
      <c r="C5" s="2" t="s">
        <v>667</v>
      </c>
      <c r="D5" s="3">
        <v>389191</v>
      </c>
      <c r="E5" s="3">
        <v>68497758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664</v>
      </c>
      <c r="B6" s="2">
        <v>100955</v>
      </c>
      <c r="C6" s="2" t="s">
        <v>668</v>
      </c>
      <c r="D6" s="3">
        <v>456237</v>
      </c>
      <c r="E6" s="3">
        <v>71661840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441707400</v>
      </c>
    </row>
    <row r="7" spans="1:11" ht="22.5" x14ac:dyDescent="0.6">
      <c r="A7" s="1" t="s">
        <v>664</v>
      </c>
      <c r="B7" s="2">
        <v>100972</v>
      </c>
      <c r="C7" s="2" t="s">
        <v>669</v>
      </c>
      <c r="D7" s="3">
        <v>473767</v>
      </c>
      <c r="E7" s="3">
        <v>83383152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538743692</v>
      </c>
    </row>
    <row r="8" spans="1:11" x14ac:dyDescent="0.2">
      <c r="A8" s="1" t="s">
        <v>664</v>
      </c>
      <c r="B8" s="2">
        <v>100985</v>
      </c>
      <c r="C8" s="2" t="s">
        <v>670</v>
      </c>
      <c r="D8" s="3">
        <v>265128</v>
      </c>
      <c r="E8" s="3">
        <v>46662627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664</v>
      </c>
      <c r="B9" s="2">
        <v>100865</v>
      </c>
      <c r="C9" s="2" t="s">
        <v>671</v>
      </c>
      <c r="D9" s="3">
        <v>487005</v>
      </c>
      <c r="E9" s="3">
        <v>85712966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 t="s">
        <v>664</v>
      </c>
      <c r="B10" s="2">
        <v>100675</v>
      </c>
      <c r="C10" s="2" t="s">
        <v>672</v>
      </c>
      <c r="D10" s="3">
        <v>485833</v>
      </c>
      <c r="E10" s="3">
        <v>85506694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 t="s">
        <v>664</v>
      </c>
      <c r="B11" s="2">
        <v>101575</v>
      </c>
      <c r="C11" s="2" t="s">
        <v>673</v>
      </c>
      <c r="D11" s="3">
        <v>328042</v>
      </c>
      <c r="E11" s="3">
        <v>57735524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 t="s">
        <v>664</v>
      </c>
      <c r="B12" s="2">
        <v>101474</v>
      </c>
      <c r="C12" s="2" t="s">
        <v>674</v>
      </c>
      <c r="D12" s="3">
        <v>380886</v>
      </c>
      <c r="E12" s="3">
        <v>67036041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 t="s">
        <v>664</v>
      </c>
      <c r="B13" s="2">
        <v>100585</v>
      </c>
      <c r="C13" s="2" t="s">
        <v>675</v>
      </c>
      <c r="D13" s="3">
        <v>390239</v>
      </c>
      <c r="E13" s="3">
        <v>68682183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 t="s">
        <v>664</v>
      </c>
      <c r="B14" s="2">
        <v>100708</v>
      </c>
      <c r="C14" s="2" t="s">
        <v>676</v>
      </c>
      <c r="D14" s="3">
        <v>459415</v>
      </c>
      <c r="E14" s="3">
        <v>80857107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H15" s="9">
        <f t="shared" ref="H15:I15" si="2">SUM(H3:H14)</f>
        <v>0</v>
      </c>
      <c r="I15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2F97-1B28-4936-9761-0DD1D6C6263B}">
  <dimension ref="A1:K22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>
        <v>1613</v>
      </c>
      <c r="B3" s="2">
        <v>101310</v>
      </c>
      <c r="C3" s="2" t="s">
        <v>677</v>
      </c>
      <c r="D3" s="3">
        <v>443589</v>
      </c>
      <c r="E3" s="3">
        <v>78071717</v>
      </c>
      <c r="F3" s="5"/>
      <c r="G3" s="5"/>
      <c r="H3" s="3">
        <f t="shared" ref="H3:H21" si="0">F3*D3</f>
        <v>0</v>
      </c>
      <c r="I3" s="3">
        <f t="shared" ref="I3:I21" si="1">(G3*E3)/100</f>
        <v>0</v>
      </c>
    </row>
    <row r="4" spans="1:11" x14ac:dyDescent="0.2">
      <c r="A4" s="1">
        <v>1613</v>
      </c>
      <c r="B4" s="2">
        <v>101952</v>
      </c>
      <c r="C4" s="2" t="s">
        <v>678</v>
      </c>
      <c r="D4" s="3">
        <v>255168</v>
      </c>
      <c r="E4" s="3">
        <v>44909700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>
        <v>1613</v>
      </c>
      <c r="B5" s="2">
        <v>101956</v>
      </c>
      <c r="C5" s="2" t="s">
        <v>679</v>
      </c>
      <c r="D5" s="3">
        <v>226359</v>
      </c>
      <c r="E5" s="3">
        <v>39839250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>
        <v>1613</v>
      </c>
      <c r="B6" s="2">
        <v>101085</v>
      </c>
      <c r="C6" s="2" t="s">
        <v>680</v>
      </c>
      <c r="D6" s="3">
        <v>425745</v>
      </c>
      <c r="E6" s="3">
        <v>74931194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793008300</v>
      </c>
    </row>
    <row r="7" spans="1:11" ht="22.5" x14ac:dyDescent="0.6">
      <c r="A7" s="1">
        <v>1613</v>
      </c>
      <c r="B7" s="2">
        <v>100739</v>
      </c>
      <c r="C7" s="2" t="s">
        <v>681</v>
      </c>
      <c r="D7" s="3">
        <v>513623</v>
      </c>
      <c r="E7" s="3">
        <v>90397754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903879595</v>
      </c>
    </row>
    <row r="8" spans="1:11" x14ac:dyDescent="0.2">
      <c r="A8" s="1">
        <v>1613</v>
      </c>
      <c r="B8" s="2">
        <v>101946</v>
      </c>
      <c r="C8" s="2" t="s">
        <v>682</v>
      </c>
      <c r="D8" s="3">
        <v>255168</v>
      </c>
      <c r="E8" s="3">
        <v>44909700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>
        <v>1613</v>
      </c>
      <c r="B9" s="2">
        <v>101220</v>
      </c>
      <c r="C9" s="2" t="s">
        <v>683</v>
      </c>
      <c r="D9" s="3">
        <v>442762</v>
      </c>
      <c r="E9" s="3">
        <v>77926202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>
        <v>1613</v>
      </c>
      <c r="B10" s="2">
        <v>101066</v>
      </c>
      <c r="C10" s="2" t="s">
        <v>684</v>
      </c>
      <c r="D10" s="3">
        <v>439987</v>
      </c>
      <c r="E10" s="3">
        <v>77437844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>
        <v>1613</v>
      </c>
      <c r="B11" s="2">
        <v>101296</v>
      </c>
      <c r="C11" s="2" t="s">
        <v>685</v>
      </c>
      <c r="D11" s="3">
        <v>411166</v>
      </c>
      <c r="E11" s="3">
        <v>72365345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>
        <v>1613</v>
      </c>
      <c r="B12" s="2">
        <v>100806</v>
      </c>
      <c r="C12" s="2" t="s">
        <v>686</v>
      </c>
      <c r="D12" s="3">
        <v>476404</v>
      </c>
      <c r="E12" s="3">
        <v>83847155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>
        <v>1613</v>
      </c>
      <c r="B13" s="2">
        <v>100841</v>
      </c>
      <c r="C13" s="2" t="s">
        <v>687</v>
      </c>
      <c r="D13" s="3">
        <v>412191</v>
      </c>
      <c r="E13" s="3">
        <v>72545776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>
        <v>1613</v>
      </c>
      <c r="B14" s="2">
        <v>100210</v>
      </c>
      <c r="C14" s="2" t="s">
        <v>688</v>
      </c>
      <c r="D14" s="3">
        <v>552865</v>
      </c>
      <c r="E14" s="3">
        <v>97304350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>
        <v>1613</v>
      </c>
      <c r="B15" s="2">
        <v>515070</v>
      </c>
      <c r="C15" s="2" t="s">
        <v>689</v>
      </c>
      <c r="D15" s="3">
        <v>333338</v>
      </c>
      <c r="E15" s="3">
        <v>58667521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>
        <v>1613</v>
      </c>
      <c r="B16" s="2">
        <v>101032</v>
      </c>
      <c r="C16" s="2" t="s">
        <v>690</v>
      </c>
      <c r="D16" s="3">
        <v>297230</v>
      </c>
      <c r="E16" s="3">
        <v>52312557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>
        <v>1613</v>
      </c>
      <c r="B17" s="2">
        <v>101049</v>
      </c>
      <c r="C17" s="2" t="s">
        <v>691</v>
      </c>
      <c r="D17" s="3">
        <v>344368</v>
      </c>
      <c r="E17" s="3">
        <v>60608779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>
        <v>1613</v>
      </c>
      <c r="B18" s="2">
        <v>101217</v>
      </c>
      <c r="C18" s="2" t="s">
        <v>692</v>
      </c>
      <c r="D18" s="3">
        <v>441371</v>
      </c>
      <c r="E18" s="3">
        <v>77681321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>
        <v>1613</v>
      </c>
      <c r="B19" s="2">
        <v>101456</v>
      </c>
      <c r="C19" s="2" t="s">
        <v>693</v>
      </c>
      <c r="D19" s="3">
        <v>431366</v>
      </c>
      <c r="E19" s="3">
        <v>75920481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>
        <v>1613</v>
      </c>
      <c r="B20" s="2">
        <v>101256</v>
      </c>
      <c r="C20" s="2" t="s">
        <v>694</v>
      </c>
      <c r="D20" s="3">
        <v>442666</v>
      </c>
      <c r="E20" s="3">
        <v>77909384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A21" s="1">
        <v>1613</v>
      </c>
      <c r="B21" s="2">
        <v>101216</v>
      </c>
      <c r="C21" s="2" t="s">
        <v>695</v>
      </c>
      <c r="D21" s="3">
        <v>407094</v>
      </c>
      <c r="E21" s="3">
        <v>71648669</v>
      </c>
      <c r="F21" s="5"/>
      <c r="G21" s="5"/>
      <c r="H21" s="3">
        <f t="shared" si="0"/>
        <v>0</v>
      </c>
      <c r="I21" s="3">
        <f t="shared" si="1"/>
        <v>0</v>
      </c>
    </row>
    <row r="22" spans="1:9" x14ac:dyDescent="0.2">
      <c r="H22" s="9">
        <f t="shared" ref="H22:I22" si="2">SUM(H3:H21)</f>
        <v>0</v>
      </c>
      <c r="I22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1DB4B-93CE-43ED-8F38-41223B07A381}">
  <dimension ref="A1:K92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696</v>
      </c>
      <c r="B3" s="2">
        <v>101213</v>
      </c>
      <c r="C3" s="2" t="s">
        <v>697</v>
      </c>
      <c r="D3" s="3">
        <v>442706</v>
      </c>
      <c r="E3" s="3">
        <v>77916305</v>
      </c>
      <c r="F3" s="5"/>
      <c r="G3" s="5"/>
      <c r="H3" s="3">
        <f t="shared" ref="H3:H34" si="0">F3*D3</f>
        <v>0</v>
      </c>
      <c r="I3" s="3">
        <f t="shared" ref="I3:I34" si="1">(G3*E3)/100</f>
        <v>0</v>
      </c>
    </row>
    <row r="4" spans="1:11" x14ac:dyDescent="0.2">
      <c r="A4" s="1" t="s">
        <v>696</v>
      </c>
      <c r="B4" s="2">
        <v>100573</v>
      </c>
      <c r="C4" s="2" t="s">
        <v>698</v>
      </c>
      <c r="D4" s="3">
        <v>580303</v>
      </c>
      <c r="E4" s="3">
        <v>102133350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696</v>
      </c>
      <c r="B5" s="2">
        <v>100498</v>
      </c>
      <c r="C5" s="2" t="s">
        <v>699</v>
      </c>
      <c r="D5" s="3">
        <v>544634</v>
      </c>
      <c r="E5" s="3">
        <v>95855650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696</v>
      </c>
      <c r="B6" s="2">
        <v>100084</v>
      </c>
      <c r="C6" s="2" t="s">
        <v>700</v>
      </c>
      <c r="D6" s="3">
        <v>572071</v>
      </c>
      <c r="E6" s="3">
        <v>100684650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/>
    </row>
    <row r="7" spans="1:11" ht="22.5" x14ac:dyDescent="0.6">
      <c r="A7" s="1" t="s">
        <v>696</v>
      </c>
      <c r="B7" s="2">
        <v>100291</v>
      </c>
      <c r="C7" s="2" t="s">
        <v>701</v>
      </c>
      <c r="D7" s="3">
        <v>580303</v>
      </c>
      <c r="E7" s="3">
        <v>102133350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/>
    </row>
    <row r="8" spans="1:11" x14ac:dyDescent="0.2">
      <c r="A8" s="1" t="s">
        <v>696</v>
      </c>
      <c r="B8" s="2">
        <v>100434</v>
      </c>
      <c r="C8" s="2" t="s">
        <v>702</v>
      </c>
      <c r="D8" s="3">
        <v>528797</v>
      </c>
      <c r="E8" s="3">
        <v>93068384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696</v>
      </c>
      <c r="B9" s="2">
        <v>100284</v>
      </c>
      <c r="C9" s="2" t="s">
        <v>703</v>
      </c>
      <c r="D9" s="3">
        <v>580303</v>
      </c>
      <c r="E9" s="3">
        <v>102133350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 t="s">
        <v>696</v>
      </c>
      <c r="B10" s="2">
        <v>100757</v>
      </c>
      <c r="C10" s="2" t="s">
        <v>704</v>
      </c>
      <c r="D10" s="3">
        <v>512336</v>
      </c>
      <c r="E10" s="3">
        <v>90171220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 t="s">
        <v>696</v>
      </c>
      <c r="B11" s="2">
        <v>100363</v>
      </c>
      <c r="C11" s="2" t="s">
        <v>705</v>
      </c>
      <c r="D11" s="3">
        <v>580303</v>
      </c>
      <c r="E11" s="3">
        <v>102133350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 t="s">
        <v>696</v>
      </c>
      <c r="B12" s="2">
        <v>100559</v>
      </c>
      <c r="C12" s="2" t="s">
        <v>706</v>
      </c>
      <c r="D12" s="3">
        <v>541941</v>
      </c>
      <c r="E12" s="3">
        <v>95381773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 t="s">
        <v>696</v>
      </c>
      <c r="B13" s="2">
        <v>100098</v>
      </c>
      <c r="C13" s="2" t="s">
        <v>707</v>
      </c>
      <c r="D13" s="3">
        <v>567270</v>
      </c>
      <c r="E13" s="3">
        <v>99839575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 t="s">
        <v>696</v>
      </c>
      <c r="B14" s="2">
        <v>100923</v>
      </c>
      <c r="C14" s="2" t="s">
        <v>708</v>
      </c>
      <c r="D14" s="3">
        <v>456237</v>
      </c>
      <c r="E14" s="3">
        <v>71661840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 t="s">
        <v>696</v>
      </c>
      <c r="B15" s="2">
        <v>100065</v>
      </c>
      <c r="C15" s="2" t="s">
        <v>709</v>
      </c>
      <c r="D15" s="3">
        <v>580303</v>
      </c>
      <c r="E15" s="3">
        <v>102133350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 t="s">
        <v>696</v>
      </c>
      <c r="B16" s="2">
        <v>100048</v>
      </c>
      <c r="C16" s="2" t="s">
        <v>710</v>
      </c>
      <c r="D16" s="3">
        <v>565898</v>
      </c>
      <c r="E16" s="3">
        <v>99598125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 t="s">
        <v>696</v>
      </c>
      <c r="B17" s="2">
        <v>100491</v>
      </c>
      <c r="C17" s="2" t="s">
        <v>711</v>
      </c>
      <c r="D17" s="3">
        <v>551493</v>
      </c>
      <c r="E17" s="3">
        <v>97062900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 t="s">
        <v>696</v>
      </c>
      <c r="B18" s="2">
        <v>101533</v>
      </c>
      <c r="C18" s="2" t="s">
        <v>712</v>
      </c>
      <c r="D18" s="3">
        <v>407752</v>
      </c>
      <c r="E18" s="3">
        <v>71764493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 t="s">
        <v>696</v>
      </c>
      <c r="B19" s="2">
        <v>100802</v>
      </c>
      <c r="C19" s="2" t="s">
        <v>713</v>
      </c>
      <c r="D19" s="3">
        <v>535400</v>
      </c>
      <c r="E19" s="3">
        <v>94230536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 t="s">
        <v>696</v>
      </c>
      <c r="B20" s="2">
        <v>100274</v>
      </c>
      <c r="C20" s="2" t="s">
        <v>714</v>
      </c>
      <c r="D20" s="3">
        <v>572071</v>
      </c>
      <c r="E20" s="3">
        <v>100684650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A21" s="1" t="s">
        <v>696</v>
      </c>
      <c r="B21" s="2">
        <v>100165</v>
      </c>
      <c r="C21" s="2" t="s">
        <v>715</v>
      </c>
      <c r="D21" s="3">
        <v>544634</v>
      </c>
      <c r="E21" s="3">
        <v>95855650</v>
      </c>
      <c r="F21" s="5"/>
      <c r="G21" s="5"/>
      <c r="H21" s="3">
        <f t="shared" si="0"/>
        <v>0</v>
      </c>
      <c r="I21" s="3">
        <f t="shared" si="1"/>
        <v>0</v>
      </c>
    </row>
    <row r="22" spans="1:9" x14ac:dyDescent="0.2">
      <c r="A22" s="1" t="s">
        <v>696</v>
      </c>
      <c r="B22" s="2">
        <v>100519</v>
      </c>
      <c r="C22" s="2" t="s">
        <v>716</v>
      </c>
      <c r="D22" s="3">
        <v>515825</v>
      </c>
      <c r="E22" s="3">
        <v>90785200</v>
      </c>
      <c r="F22" s="5"/>
      <c r="G22" s="5"/>
      <c r="H22" s="3">
        <f t="shared" si="0"/>
        <v>0</v>
      </c>
      <c r="I22" s="3">
        <f t="shared" si="1"/>
        <v>0</v>
      </c>
    </row>
    <row r="23" spans="1:9" x14ac:dyDescent="0.2">
      <c r="A23" s="1" t="s">
        <v>696</v>
      </c>
      <c r="B23" s="2">
        <v>100442</v>
      </c>
      <c r="C23" s="2" t="s">
        <v>717</v>
      </c>
      <c r="D23" s="3">
        <v>495989</v>
      </c>
      <c r="E23" s="3">
        <v>87294190</v>
      </c>
      <c r="F23" s="5"/>
      <c r="G23" s="5"/>
      <c r="H23" s="3">
        <f t="shared" si="0"/>
        <v>0</v>
      </c>
      <c r="I23" s="3">
        <f t="shared" si="1"/>
        <v>0</v>
      </c>
    </row>
    <row r="24" spans="1:9" x14ac:dyDescent="0.2">
      <c r="A24" s="1" t="s">
        <v>696</v>
      </c>
      <c r="B24" s="2">
        <v>100600</v>
      </c>
      <c r="C24" s="2" t="s">
        <v>718</v>
      </c>
      <c r="D24" s="3">
        <v>552865</v>
      </c>
      <c r="E24" s="3">
        <v>97304350</v>
      </c>
      <c r="F24" s="5"/>
      <c r="G24" s="5"/>
      <c r="H24" s="3">
        <f t="shared" si="0"/>
        <v>0</v>
      </c>
      <c r="I24" s="3">
        <f t="shared" si="1"/>
        <v>0</v>
      </c>
    </row>
    <row r="25" spans="1:9" x14ac:dyDescent="0.2">
      <c r="A25" s="1" t="s">
        <v>696</v>
      </c>
      <c r="B25" s="2">
        <v>100075</v>
      </c>
      <c r="C25" s="2" t="s">
        <v>719</v>
      </c>
      <c r="D25" s="3">
        <v>592211</v>
      </c>
      <c r="E25" s="3">
        <v>104229136</v>
      </c>
      <c r="F25" s="5"/>
      <c r="G25" s="5"/>
      <c r="H25" s="3">
        <f t="shared" si="0"/>
        <v>0</v>
      </c>
      <c r="I25" s="3">
        <f t="shared" si="1"/>
        <v>0</v>
      </c>
    </row>
    <row r="26" spans="1:9" x14ac:dyDescent="0.2">
      <c r="A26" s="1" t="s">
        <v>696</v>
      </c>
      <c r="B26" s="2">
        <v>100483</v>
      </c>
      <c r="C26" s="2" t="s">
        <v>720</v>
      </c>
      <c r="D26" s="3">
        <v>543262</v>
      </c>
      <c r="E26" s="3">
        <v>95614200</v>
      </c>
      <c r="F26" s="5"/>
      <c r="G26" s="5"/>
      <c r="H26" s="3">
        <f t="shared" si="0"/>
        <v>0</v>
      </c>
      <c r="I26" s="3">
        <f t="shared" si="1"/>
        <v>0</v>
      </c>
    </row>
    <row r="27" spans="1:9" x14ac:dyDescent="0.2">
      <c r="A27" s="1" t="s">
        <v>696</v>
      </c>
      <c r="B27" s="2">
        <v>100462</v>
      </c>
      <c r="C27" s="2" t="s">
        <v>721</v>
      </c>
      <c r="D27" s="3">
        <v>543262</v>
      </c>
      <c r="E27" s="3">
        <v>95614200</v>
      </c>
      <c r="F27" s="5"/>
      <c r="G27" s="5"/>
      <c r="H27" s="3">
        <f t="shared" si="0"/>
        <v>0</v>
      </c>
      <c r="I27" s="3">
        <f t="shared" si="1"/>
        <v>0</v>
      </c>
    </row>
    <row r="28" spans="1:9" x14ac:dyDescent="0.2">
      <c r="A28" s="1" t="s">
        <v>696</v>
      </c>
      <c r="B28" s="2">
        <v>100392</v>
      </c>
      <c r="C28" s="2" t="s">
        <v>722</v>
      </c>
      <c r="D28" s="3">
        <v>565898</v>
      </c>
      <c r="E28" s="3">
        <v>99598125</v>
      </c>
      <c r="F28" s="5"/>
      <c r="G28" s="5"/>
      <c r="H28" s="3">
        <f t="shared" si="0"/>
        <v>0</v>
      </c>
      <c r="I28" s="3">
        <f t="shared" si="1"/>
        <v>0</v>
      </c>
    </row>
    <row r="29" spans="1:9" x14ac:dyDescent="0.2">
      <c r="A29" s="1" t="s">
        <v>696</v>
      </c>
      <c r="B29" s="2">
        <v>100682</v>
      </c>
      <c r="C29" s="2" t="s">
        <v>723</v>
      </c>
      <c r="D29" s="3">
        <v>545323</v>
      </c>
      <c r="E29" s="3">
        <v>95976912</v>
      </c>
      <c r="F29" s="5"/>
      <c r="G29" s="5"/>
      <c r="H29" s="3">
        <f t="shared" si="0"/>
        <v>0</v>
      </c>
      <c r="I29" s="3">
        <f t="shared" si="1"/>
        <v>0</v>
      </c>
    </row>
    <row r="30" spans="1:9" x14ac:dyDescent="0.2">
      <c r="A30" s="1" t="s">
        <v>696</v>
      </c>
      <c r="B30" s="2">
        <v>101114</v>
      </c>
      <c r="C30" s="2" t="s">
        <v>724</v>
      </c>
      <c r="D30" s="3">
        <v>429569</v>
      </c>
      <c r="E30" s="3">
        <v>75604314</v>
      </c>
      <c r="F30" s="5"/>
      <c r="G30" s="5"/>
      <c r="H30" s="3">
        <f t="shared" si="0"/>
        <v>0</v>
      </c>
      <c r="I30" s="3">
        <f t="shared" si="1"/>
        <v>0</v>
      </c>
    </row>
    <row r="31" spans="1:9" x14ac:dyDescent="0.2">
      <c r="A31" s="1" t="s">
        <v>696</v>
      </c>
      <c r="B31" s="2">
        <v>100954</v>
      </c>
      <c r="C31" s="2" t="s">
        <v>725</v>
      </c>
      <c r="D31" s="3">
        <v>332405</v>
      </c>
      <c r="E31" s="3">
        <v>58503335</v>
      </c>
      <c r="F31" s="5"/>
      <c r="G31" s="5"/>
      <c r="H31" s="3">
        <f t="shared" si="0"/>
        <v>0</v>
      </c>
      <c r="I31" s="3">
        <f t="shared" si="1"/>
        <v>0</v>
      </c>
    </row>
    <row r="32" spans="1:9" x14ac:dyDescent="0.2">
      <c r="A32" s="1" t="s">
        <v>696</v>
      </c>
      <c r="B32" s="2">
        <v>100716</v>
      </c>
      <c r="C32" s="2" t="s">
        <v>726</v>
      </c>
      <c r="D32" s="3">
        <v>498934</v>
      </c>
      <c r="E32" s="3">
        <v>87812458</v>
      </c>
      <c r="F32" s="5"/>
      <c r="G32" s="5"/>
      <c r="H32" s="3">
        <f t="shared" si="0"/>
        <v>0</v>
      </c>
      <c r="I32" s="3">
        <f t="shared" si="1"/>
        <v>0</v>
      </c>
    </row>
    <row r="33" spans="1:9" x14ac:dyDescent="0.2">
      <c r="A33" s="1" t="s">
        <v>696</v>
      </c>
      <c r="B33" s="2">
        <v>100688</v>
      </c>
      <c r="C33" s="2" t="s">
        <v>727</v>
      </c>
      <c r="D33" s="3">
        <v>576187</v>
      </c>
      <c r="E33" s="3">
        <v>101409000</v>
      </c>
      <c r="F33" s="5"/>
      <c r="G33" s="5"/>
      <c r="H33" s="3">
        <f t="shared" si="0"/>
        <v>0</v>
      </c>
      <c r="I33" s="3">
        <f t="shared" si="1"/>
        <v>0</v>
      </c>
    </row>
    <row r="34" spans="1:9" x14ac:dyDescent="0.2">
      <c r="A34" s="1" t="s">
        <v>696</v>
      </c>
      <c r="B34" s="2">
        <v>100481</v>
      </c>
      <c r="C34" s="2" t="s">
        <v>728</v>
      </c>
      <c r="D34" s="3">
        <v>535683</v>
      </c>
      <c r="E34" s="3">
        <v>94280355</v>
      </c>
      <c r="F34" s="5"/>
      <c r="G34" s="5"/>
      <c r="H34" s="3">
        <f t="shared" si="0"/>
        <v>0</v>
      </c>
      <c r="I34" s="3">
        <f t="shared" si="1"/>
        <v>0</v>
      </c>
    </row>
    <row r="35" spans="1:9" x14ac:dyDescent="0.2">
      <c r="A35" s="1" t="s">
        <v>696</v>
      </c>
      <c r="B35" s="2">
        <v>100438</v>
      </c>
      <c r="C35" s="2" t="s">
        <v>729</v>
      </c>
      <c r="D35" s="3">
        <v>540521</v>
      </c>
      <c r="E35" s="3">
        <v>95131837</v>
      </c>
      <c r="F35" s="5"/>
      <c r="G35" s="5"/>
      <c r="H35" s="3">
        <f t="shared" ref="H35:H66" si="2">F35*D35</f>
        <v>0</v>
      </c>
      <c r="I35" s="3">
        <f t="shared" ref="I35:I66" si="3">(G35*E35)/100</f>
        <v>0</v>
      </c>
    </row>
    <row r="36" spans="1:9" x14ac:dyDescent="0.2">
      <c r="A36" s="1" t="s">
        <v>696</v>
      </c>
      <c r="B36" s="2">
        <v>100200</v>
      </c>
      <c r="C36" s="2" t="s">
        <v>730</v>
      </c>
      <c r="D36" s="3">
        <v>586476</v>
      </c>
      <c r="E36" s="3">
        <v>103219875</v>
      </c>
      <c r="F36" s="5"/>
      <c r="G36" s="5"/>
      <c r="H36" s="3">
        <f t="shared" si="2"/>
        <v>0</v>
      </c>
      <c r="I36" s="3">
        <f t="shared" si="3"/>
        <v>0</v>
      </c>
    </row>
    <row r="37" spans="1:9" x14ac:dyDescent="0.2">
      <c r="A37" s="1" t="s">
        <v>696</v>
      </c>
      <c r="B37" s="2">
        <v>100882</v>
      </c>
      <c r="C37" s="2" t="s">
        <v>731</v>
      </c>
      <c r="D37" s="3">
        <v>529654</v>
      </c>
      <c r="E37" s="3">
        <v>93219183</v>
      </c>
      <c r="F37" s="5"/>
      <c r="G37" s="5"/>
      <c r="H37" s="3">
        <f t="shared" si="2"/>
        <v>0</v>
      </c>
      <c r="I37" s="3">
        <f t="shared" si="3"/>
        <v>0</v>
      </c>
    </row>
    <row r="38" spans="1:9" x14ac:dyDescent="0.2">
      <c r="A38" s="1" t="s">
        <v>696</v>
      </c>
      <c r="B38" s="2">
        <v>100960</v>
      </c>
      <c r="C38" s="2" t="s">
        <v>732</v>
      </c>
      <c r="D38" s="3">
        <v>453891</v>
      </c>
      <c r="E38" s="3">
        <v>79884887</v>
      </c>
      <c r="F38" s="5"/>
      <c r="G38" s="5"/>
      <c r="H38" s="3">
        <f t="shared" si="2"/>
        <v>0</v>
      </c>
      <c r="I38" s="3">
        <f t="shared" si="3"/>
        <v>0</v>
      </c>
    </row>
    <row r="39" spans="1:9" x14ac:dyDescent="0.2">
      <c r="A39" s="1" t="s">
        <v>696</v>
      </c>
      <c r="B39" s="2">
        <v>100815</v>
      </c>
      <c r="C39" s="2" t="s">
        <v>733</v>
      </c>
      <c r="D39" s="3">
        <v>509097</v>
      </c>
      <c r="E39" s="3">
        <v>89601136</v>
      </c>
      <c r="F39" s="5"/>
      <c r="G39" s="5"/>
      <c r="H39" s="3">
        <f t="shared" si="2"/>
        <v>0</v>
      </c>
      <c r="I39" s="3">
        <f t="shared" si="3"/>
        <v>0</v>
      </c>
    </row>
    <row r="40" spans="1:9" x14ac:dyDescent="0.2">
      <c r="A40" s="1" t="s">
        <v>696</v>
      </c>
      <c r="B40" s="2">
        <v>100561</v>
      </c>
      <c r="C40" s="2" t="s">
        <v>734</v>
      </c>
      <c r="D40" s="3">
        <v>551493</v>
      </c>
      <c r="E40" s="3">
        <v>97062900</v>
      </c>
      <c r="F40" s="5"/>
      <c r="G40" s="5"/>
      <c r="H40" s="3">
        <f t="shared" si="2"/>
        <v>0</v>
      </c>
      <c r="I40" s="3">
        <f t="shared" si="3"/>
        <v>0</v>
      </c>
    </row>
    <row r="41" spans="1:9" x14ac:dyDescent="0.2">
      <c r="A41" s="1" t="s">
        <v>696</v>
      </c>
      <c r="B41" s="2">
        <v>100138</v>
      </c>
      <c r="C41" s="2" t="s">
        <v>735</v>
      </c>
      <c r="D41" s="3">
        <v>594707</v>
      </c>
      <c r="E41" s="3">
        <v>104668575</v>
      </c>
      <c r="F41" s="5"/>
      <c r="G41" s="5"/>
      <c r="H41" s="3">
        <f t="shared" si="2"/>
        <v>0</v>
      </c>
      <c r="I41" s="3">
        <f t="shared" si="3"/>
        <v>0</v>
      </c>
    </row>
    <row r="42" spans="1:9" x14ac:dyDescent="0.2">
      <c r="A42" s="1" t="s">
        <v>696</v>
      </c>
      <c r="B42" s="2">
        <v>100148</v>
      </c>
      <c r="C42" s="2" t="s">
        <v>736</v>
      </c>
      <c r="D42" s="3">
        <v>594707</v>
      </c>
      <c r="E42" s="3">
        <v>104668575</v>
      </c>
      <c r="F42" s="5"/>
      <c r="G42" s="5"/>
      <c r="H42" s="3">
        <f t="shared" si="2"/>
        <v>0</v>
      </c>
      <c r="I42" s="3">
        <f t="shared" si="3"/>
        <v>0</v>
      </c>
    </row>
    <row r="43" spans="1:9" x14ac:dyDescent="0.2">
      <c r="A43" s="1" t="s">
        <v>696</v>
      </c>
      <c r="B43" s="2">
        <v>100582</v>
      </c>
      <c r="C43" s="2" t="s">
        <v>737</v>
      </c>
      <c r="D43" s="3">
        <v>572071</v>
      </c>
      <c r="E43" s="3">
        <v>100684650</v>
      </c>
      <c r="F43" s="5"/>
      <c r="G43" s="5"/>
      <c r="H43" s="3">
        <f t="shared" si="2"/>
        <v>0</v>
      </c>
      <c r="I43" s="3">
        <f t="shared" si="3"/>
        <v>0</v>
      </c>
    </row>
    <row r="44" spans="1:9" x14ac:dyDescent="0.2">
      <c r="A44" s="1" t="s">
        <v>696</v>
      </c>
      <c r="B44" s="2">
        <v>100746</v>
      </c>
      <c r="C44" s="2" t="s">
        <v>738</v>
      </c>
      <c r="D44" s="3">
        <v>548076</v>
      </c>
      <c r="E44" s="3">
        <v>96461544</v>
      </c>
      <c r="F44" s="5"/>
      <c r="G44" s="5"/>
      <c r="H44" s="3">
        <f t="shared" si="2"/>
        <v>0</v>
      </c>
      <c r="I44" s="3">
        <f t="shared" si="3"/>
        <v>0</v>
      </c>
    </row>
    <row r="45" spans="1:9" x14ac:dyDescent="0.2">
      <c r="A45" s="1" t="s">
        <v>696</v>
      </c>
      <c r="B45" s="2">
        <v>100101</v>
      </c>
      <c r="C45" s="2" t="s">
        <v>739</v>
      </c>
      <c r="D45" s="3">
        <v>594707</v>
      </c>
      <c r="E45" s="3">
        <v>104668575</v>
      </c>
      <c r="F45" s="5"/>
      <c r="G45" s="5"/>
      <c r="H45" s="3">
        <f t="shared" si="2"/>
        <v>0</v>
      </c>
      <c r="I45" s="3">
        <f t="shared" si="3"/>
        <v>0</v>
      </c>
    </row>
    <row r="46" spans="1:9" x14ac:dyDescent="0.2">
      <c r="A46" s="1" t="s">
        <v>696</v>
      </c>
      <c r="B46" s="2">
        <v>100047</v>
      </c>
      <c r="C46" s="2" t="s">
        <v>740</v>
      </c>
      <c r="D46" s="3">
        <v>557667</v>
      </c>
      <c r="E46" s="3">
        <v>98149425</v>
      </c>
      <c r="F46" s="5"/>
      <c r="G46" s="5"/>
      <c r="H46" s="3">
        <f t="shared" si="2"/>
        <v>0</v>
      </c>
      <c r="I46" s="3">
        <f t="shared" si="3"/>
        <v>0</v>
      </c>
    </row>
    <row r="47" spans="1:9" x14ac:dyDescent="0.2">
      <c r="A47" s="1" t="s">
        <v>696</v>
      </c>
      <c r="B47" s="2">
        <v>101082</v>
      </c>
      <c r="C47" s="2" t="s">
        <v>741</v>
      </c>
      <c r="D47" s="3">
        <v>366894</v>
      </c>
      <c r="E47" s="3">
        <v>64573388</v>
      </c>
      <c r="F47" s="5"/>
      <c r="G47" s="5"/>
      <c r="H47" s="3">
        <f t="shared" si="2"/>
        <v>0</v>
      </c>
      <c r="I47" s="3">
        <f t="shared" si="3"/>
        <v>0</v>
      </c>
    </row>
    <row r="48" spans="1:9" x14ac:dyDescent="0.2">
      <c r="A48" s="1" t="s">
        <v>696</v>
      </c>
      <c r="B48" s="2">
        <v>100986</v>
      </c>
      <c r="C48" s="2" t="s">
        <v>742</v>
      </c>
      <c r="D48" s="3">
        <v>456237</v>
      </c>
      <c r="E48" s="3">
        <v>71661840</v>
      </c>
      <c r="F48" s="5"/>
      <c r="G48" s="5"/>
      <c r="H48" s="3">
        <f t="shared" si="2"/>
        <v>0</v>
      </c>
      <c r="I48" s="3">
        <f t="shared" si="3"/>
        <v>0</v>
      </c>
    </row>
    <row r="49" spans="1:9" x14ac:dyDescent="0.2">
      <c r="A49" s="1" t="s">
        <v>696</v>
      </c>
      <c r="B49" s="2">
        <v>100539</v>
      </c>
      <c r="C49" s="2" t="s">
        <v>743</v>
      </c>
      <c r="D49" s="3">
        <v>546308</v>
      </c>
      <c r="E49" s="3">
        <v>96150219</v>
      </c>
      <c r="F49" s="5"/>
      <c r="G49" s="5"/>
      <c r="H49" s="3">
        <f t="shared" si="2"/>
        <v>0</v>
      </c>
      <c r="I49" s="3">
        <f t="shared" si="3"/>
        <v>0</v>
      </c>
    </row>
    <row r="50" spans="1:9" x14ac:dyDescent="0.2">
      <c r="A50" s="1" t="s">
        <v>696</v>
      </c>
      <c r="B50" s="2">
        <v>100769</v>
      </c>
      <c r="C50" s="2" t="s">
        <v>744</v>
      </c>
      <c r="D50" s="3">
        <v>530243</v>
      </c>
      <c r="E50" s="3">
        <v>93322789</v>
      </c>
      <c r="F50" s="5"/>
      <c r="G50" s="5"/>
      <c r="H50" s="3">
        <f t="shared" si="2"/>
        <v>0</v>
      </c>
      <c r="I50" s="3">
        <f t="shared" si="3"/>
        <v>0</v>
      </c>
    </row>
    <row r="51" spans="1:9" x14ac:dyDescent="0.2">
      <c r="A51" s="1" t="s">
        <v>696</v>
      </c>
      <c r="B51" s="2">
        <v>100137</v>
      </c>
      <c r="C51" s="2" t="s">
        <v>745</v>
      </c>
      <c r="D51" s="3">
        <v>594707</v>
      </c>
      <c r="E51" s="3">
        <v>104668575</v>
      </c>
      <c r="F51" s="5"/>
      <c r="G51" s="5"/>
      <c r="H51" s="3">
        <f t="shared" si="2"/>
        <v>0</v>
      </c>
      <c r="I51" s="3">
        <f t="shared" si="3"/>
        <v>0</v>
      </c>
    </row>
    <row r="52" spans="1:9" x14ac:dyDescent="0.2">
      <c r="A52" s="1" t="s">
        <v>696</v>
      </c>
      <c r="B52" s="2">
        <v>100205</v>
      </c>
      <c r="C52" s="2" t="s">
        <v>746</v>
      </c>
      <c r="D52" s="3">
        <v>594707</v>
      </c>
      <c r="E52" s="3">
        <v>104668575</v>
      </c>
      <c r="F52" s="5"/>
      <c r="G52" s="5"/>
      <c r="H52" s="3">
        <f t="shared" si="2"/>
        <v>0</v>
      </c>
      <c r="I52" s="3">
        <f t="shared" si="3"/>
        <v>0</v>
      </c>
    </row>
    <row r="53" spans="1:9" x14ac:dyDescent="0.2">
      <c r="A53" s="1" t="s">
        <v>696</v>
      </c>
      <c r="B53" s="2">
        <v>517481</v>
      </c>
      <c r="C53" s="2" t="s">
        <v>747</v>
      </c>
      <c r="D53" s="3">
        <v>294184</v>
      </c>
      <c r="E53" s="3">
        <v>51776538</v>
      </c>
      <c r="F53" s="5"/>
      <c r="G53" s="5"/>
      <c r="H53" s="3">
        <f t="shared" si="2"/>
        <v>0</v>
      </c>
      <c r="I53" s="3">
        <f t="shared" si="3"/>
        <v>0</v>
      </c>
    </row>
    <row r="54" spans="1:9" x14ac:dyDescent="0.2">
      <c r="A54" s="1" t="s">
        <v>696</v>
      </c>
      <c r="B54" s="2">
        <v>100345</v>
      </c>
      <c r="C54" s="2" t="s">
        <v>748</v>
      </c>
      <c r="D54" s="3">
        <v>586476</v>
      </c>
      <c r="E54" s="3">
        <v>103219875</v>
      </c>
      <c r="F54" s="5"/>
      <c r="G54" s="5"/>
      <c r="H54" s="3">
        <f t="shared" si="2"/>
        <v>0</v>
      </c>
      <c r="I54" s="3">
        <f t="shared" si="3"/>
        <v>0</v>
      </c>
    </row>
    <row r="55" spans="1:9" x14ac:dyDescent="0.2">
      <c r="A55" s="1" t="s">
        <v>696</v>
      </c>
      <c r="B55" s="2">
        <v>100324</v>
      </c>
      <c r="C55" s="2" t="s">
        <v>749</v>
      </c>
      <c r="D55" s="3">
        <v>572071</v>
      </c>
      <c r="E55" s="3">
        <v>100684650</v>
      </c>
      <c r="F55" s="5"/>
      <c r="G55" s="5"/>
      <c r="H55" s="3">
        <f t="shared" si="2"/>
        <v>0</v>
      </c>
      <c r="I55" s="3">
        <f t="shared" si="3"/>
        <v>0</v>
      </c>
    </row>
    <row r="56" spans="1:9" x14ac:dyDescent="0.2">
      <c r="A56" s="1" t="s">
        <v>696</v>
      </c>
      <c r="B56" s="2">
        <v>100535</v>
      </c>
      <c r="C56" s="2" t="s">
        <v>750</v>
      </c>
      <c r="D56" s="3">
        <v>538387</v>
      </c>
      <c r="E56" s="3">
        <v>94756275</v>
      </c>
      <c r="F56" s="5"/>
      <c r="G56" s="5"/>
      <c r="H56" s="3">
        <f t="shared" si="2"/>
        <v>0</v>
      </c>
      <c r="I56" s="3">
        <f t="shared" si="3"/>
        <v>0</v>
      </c>
    </row>
    <row r="57" spans="1:9" x14ac:dyDescent="0.2">
      <c r="A57" s="1" t="s">
        <v>696</v>
      </c>
      <c r="B57" s="2">
        <v>100893</v>
      </c>
      <c r="C57" s="2" t="s">
        <v>751</v>
      </c>
      <c r="D57" s="3">
        <v>551493</v>
      </c>
      <c r="E57" s="3">
        <v>97062900</v>
      </c>
      <c r="F57" s="5"/>
      <c r="G57" s="5"/>
      <c r="H57" s="3">
        <f t="shared" si="2"/>
        <v>0</v>
      </c>
      <c r="I57" s="3">
        <f t="shared" si="3"/>
        <v>0</v>
      </c>
    </row>
    <row r="58" spans="1:9" x14ac:dyDescent="0.2">
      <c r="A58" s="1" t="s">
        <v>696</v>
      </c>
      <c r="B58" s="2">
        <v>100494</v>
      </c>
      <c r="C58" s="2" t="s">
        <v>752</v>
      </c>
      <c r="D58" s="3">
        <v>523068</v>
      </c>
      <c r="E58" s="3">
        <v>92060056</v>
      </c>
      <c r="F58" s="5"/>
      <c r="G58" s="5"/>
      <c r="H58" s="3">
        <f t="shared" si="2"/>
        <v>0</v>
      </c>
      <c r="I58" s="3">
        <f t="shared" si="3"/>
        <v>0</v>
      </c>
    </row>
    <row r="59" spans="1:9" x14ac:dyDescent="0.2">
      <c r="A59" s="1" t="s">
        <v>696</v>
      </c>
      <c r="B59" s="2">
        <v>100304</v>
      </c>
      <c r="C59" s="2" t="s">
        <v>753</v>
      </c>
      <c r="D59" s="3">
        <v>594707</v>
      </c>
      <c r="E59" s="3">
        <v>104668575</v>
      </c>
      <c r="F59" s="5"/>
      <c r="G59" s="5"/>
      <c r="H59" s="3">
        <f t="shared" si="2"/>
        <v>0</v>
      </c>
      <c r="I59" s="3">
        <f t="shared" si="3"/>
        <v>0</v>
      </c>
    </row>
    <row r="60" spans="1:9" x14ac:dyDescent="0.2">
      <c r="A60" s="1" t="s">
        <v>696</v>
      </c>
      <c r="B60" s="2">
        <v>101177</v>
      </c>
      <c r="C60" s="2" t="s">
        <v>754</v>
      </c>
      <c r="D60" s="3">
        <v>474229</v>
      </c>
      <c r="E60" s="3">
        <v>83464312</v>
      </c>
      <c r="F60" s="5"/>
      <c r="G60" s="5"/>
      <c r="H60" s="3">
        <f t="shared" si="2"/>
        <v>0</v>
      </c>
      <c r="I60" s="3">
        <f t="shared" si="3"/>
        <v>0</v>
      </c>
    </row>
    <row r="61" spans="1:9" x14ac:dyDescent="0.2">
      <c r="A61" s="1" t="s">
        <v>696</v>
      </c>
      <c r="B61" s="2">
        <v>100536</v>
      </c>
      <c r="C61" s="2" t="s">
        <v>755</v>
      </c>
      <c r="D61" s="3">
        <v>534336</v>
      </c>
      <c r="E61" s="3">
        <v>94043148</v>
      </c>
      <c r="F61" s="5"/>
      <c r="G61" s="5"/>
      <c r="H61" s="3">
        <f t="shared" si="2"/>
        <v>0</v>
      </c>
      <c r="I61" s="3">
        <f t="shared" si="3"/>
        <v>0</v>
      </c>
    </row>
    <row r="62" spans="1:9" x14ac:dyDescent="0.2">
      <c r="A62" s="1" t="s">
        <v>696</v>
      </c>
      <c r="B62" s="2">
        <v>101157</v>
      </c>
      <c r="C62" s="2" t="s">
        <v>756</v>
      </c>
      <c r="D62" s="3">
        <v>441766</v>
      </c>
      <c r="E62" s="3">
        <v>77750816</v>
      </c>
      <c r="F62" s="5"/>
      <c r="G62" s="5"/>
      <c r="H62" s="3">
        <f t="shared" si="2"/>
        <v>0</v>
      </c>
      <c r="I62" s="3">
        <f t="shared" si="3"/>
        <v>0</v>
      </c>
    </row>
    <row r="63" spans="1:9" x14ac:dyDescent="0.2">
      <c r="A63" s="1" t="s">
        <v>696</v>
      </c>
      <c r="B63" s="2">
        <v>101024</v>
      </c>
      <c r="C63" s="2" t="s">
        <v>757</v>
      </c>
      <c r="D63" s="3">
        <v>509126</v>
      </c>
      <c r="E63" s="3">
        <v>89606322</v>
      </c>
      <c r="F63" s="5"/>
      <c r="G63" s="5"/>
      <c r="H63" s="3">
        <f t="shared" si="2"/>
        <v>0</v>
      </c>
      <c r="I63" s="3">
        <f t="shared" si="3"/>
        <v>0</v>
      </c>
    </row>
    <row r="64" spans="1:9" x14ac:dyDescent="0.2">
      <c r="A64" s="1" t="s">
        <v>696</v>
      </c>
      <c r="B64" s="2">
        <v>100404</v>
      </c>
      <c r="C64" s="2" t="s">
        <v>758</v>
      </c>
      <c r="D64" s="3">
        <v>552290</v>
      </c>
      <c r="E64" s="3">
        <v>97203108</v>
      </c>
      <c r="F64" s="5"/>
      <c r="G64" s="5"/>
      <c r="H64" s="3">
        <f t="shared" si="2"/>
        <v>0</v>
      </c>
      <c r="I64" s="3">
        <f t="shared" si="3"/>
        <v>0</v>
      </c>
    </row>
    <row r="65" spans="1:9" x14ac:dyDescent="0.2">
      <c r="A65" s="1" t="s">
        <v>696</v>
      </c>
      <c r="B65" s="2">
        <v>100454</v>
      </c>
      <c r="C65" s="2" t="s">
        <v>759</v>
      </c>
      <c r="D65" s="3">
        <v>514453</v>
      </c>
      <c r="E65" s="3">
        <v>90543750</v>
      </c>
      <c r="F65" s="5"/>
      <c r="G65" s="5"/>
      <c r="H65" s="3">
        <f t="shared" si="2"/>
        <v>0</v>
      </c>
      <c r="I65" s="3">
        <f t="shared" si="3"/>
        <v>0</v>
      </c>
    </row>
    <row r="66" spans="1:9" x14ac:dyDescent="0.2">
      <c r="A66" s="1" t="s">
        <v>696</v>
      </c>
      <c r="B66" s="2">
        <v>100364</v>
      </c>
      <c r="C66" s="2" t="s">
        <v>760</v>
      </c>
      <c r="D66" s="3">
        <v>567214</v>
      </c>
      <c r="E66" s="3">
        <v>99829773</v>
      </c>
      <c r="F66" s="5"/>
      <c r="G66" s="5"/>
      <c r="H66" s="3">
        <f t="shared" si="2"/>
        <v>0</v>
      </c>
      <c r="I66" s="3">
        <f t="shared" si="3"/>
        <v>0</v>
      </c>
    </row>
    <row r="67" spans="1:9" x14ac:dyDescent="0.2">
      <c r="A67" s="1" t="s">
        <v>696</v>
      </c>
      <c r="B67" s="2">
        <v>100795</v>
      </c>
      <c r="C67" s="2" t="s">
        <v>761</v>
      </c>
      <c r="D67" s="3">
        <v>520796</v>
      </c>
      <c r="E67" s="3">
        <v>91660166</v>
      </c>
      <c r="F67" s="5"/>
      <c r="G67" s="5"/>
      <c r="H67" s="3">
        <f t="shared" ref="H67:H92" si="4">F67*D67</f>
        <v>0</v>
      </c>
      <c r="I67" s="3">
        <f t="shared" ref="I67:I92" si="5">(G67*E67)/100</f>
        <v>0</v>
      </c>
    </row>
    <row r="68" spans="1:9" x14ac:dyDescent="0.2">
      <c r="A68" s="1" t="s">
        <v>696</v>
      </c>
      <c r="B68" s="2">
        <v>100280</v>
      </c>
      <c r="C68" s="2" t="s">
        <v>762</v>
      </c>
      <c r="D68" s="3">
        <v>580303</v>
      </c>
      <c r="E68" s="3">
        <v>102133350</v>
      </c>
      <c r="F68" s="5"/>
      <c r="G68" s="5"/>
      <c r="H68" s="3">
        <f t="shared" si="4"/>
        <v>0</v>
      </c>
      <c r="I68" s="3">
        <f t="shared" si="5"/>
        <v>0</v>
      </c>
    </row>
    <row r="69" spans="1:9" x14ac:dyDescent="0.2">
      <c r="A69" s="1" t="s">
        <v>696</v>
      </c>
      <c r="B69" s="2">
        <v>100253</v>
      </c>
      <c r="C69" s="2" t="s">
        <v>763</v>
      </c>
      <c r="D69" s="3">
        <v>565898</v>
      </c>
      <c r="E69" s="3">
        <v>99598125</v>
      </c>
      <c r="F69" s="5"/>
      <c r="G69" s="5"/>
      <c r="H69" s="3">
        <f t="shared" si="4"/>
        <v>0</v>
      </c>
      <c r="I69" s="3">
        <f t="shared" si="5"/>
        <v>0</v>
      </c>
    </row>
    <row r="70" spans="1:9" x14ac:dyDescent="0.2">
      <c r="A70" s="1" t="s">
        <v>696</v>
      </c>
      <c r="B70" s="2">
        <v>101035</v>
      </c>
      <c r="C70" s="2" t="s">
        <v>764</v>
      </c>
      <c r="D70" s="3">
        <v>348895</v>
      </c>
      <c r="E70" s="3">
        <v>61405564</v>
      </c>
      <c r="F70" s="5"/>
      <c r="G70" s="5"/>
      <c r="H70" s="3">
        <f t="shared" si="4"/>
        <v>0</v>
      </c>
      <c r="I70" s="3">
        <f t="shared" si="5"/>
        <v>0</v>
      </c>
    </row>
    <row r="71" spans="1:9" x14ac:dyDescent="0.2">
      <c r="A71" s="1" t="s">
        <v>696</v>
      </c>
      <c r="B71" s="2">
        <v>100256</v>
      </c>
      <c r="C71" s="2" t="s">
        <v>765</v>
      </c>
      <c r="D71" s="3">
        <v>586476</v>
      </c>
      <c r="E71" s="3">
        <v>103219875</v>
      </c>
      <c r="F71" s="5"/>
      <c r="G71" s="5"/>
      <c r="H71" s="3">
        <f t="shared" si="4"/>
        <v>0</v>
      </c>
      <c r="I71" s="3">
        <f t="shared" si="5"/>
        <v>0</v>
      </c>
    </row>
    <row r="72" spans="1:9" x14ac:dyDescent="0.2">
      <c r="A72" s="1" t="s">
        <v>696</v>
      </c>
      <c r="B72" s="2">
        <v>100384</v>
      </c>
      <c r="C72" s="2" t="s">
        <v>766</v>
      </c>
      <c r="D72" s="3">
        <v>528440</v>
      </c>
      <c r="E72" s="3">
        <v>93005607</v>
      </c>
      <c r="F72" s="5"/>
      <c r="G72" s="5"/>
      <c r="H72" s="3">
        <f t="shared" si="4"/>
        <v>0</v>
      </c>
      <c r="I72" s="3">
        <f t="shared" si="5"/>
        <v>0</v>
      </c>
    </row>
    <row r="73" spans="1:9" x14ac:dyDescent="0.2">
      <c r="A73" s="1" t="s">
        <v>696</v>
      </c>
      <c r="B73" s="2">
        <v>100259</v>
      </c>
      <c r="C73" s="2" t="s">
        <v>767</v>
      </c>
      <c r="D73" s="3">
        <v>594707</v>
      </c>
      <c r="E73" s="3">
        <v>104668575</v>
      </c>
      <c r="F73" s="5"/>
      <c r="G73" s="5"/>
      <c r="H73" s="3">
        <f t="shared" si="4"/>
        <v>0</v>
      </c>
      <c r="I73" s="3">
        <f t="shared" si="5"/>
        <v>0</v>
      </c>
    </row>
    <row r="74" spans="1:9" x14ac:dyDescent="0.2">
      <c r="A74" s="1" t="s">
        <v>696</v>
      </c>
      <c r="B74" s="2">
        <v>100552</v>
      </c>
      <c r="C74" s="2" t="s">
        <v>768</v>
      </c>
      <c r="D74" s="3">
        <v>498169</v>
      </c>
      <c r="E74" s="3">
        <v>87677750</v>
      </c>
      <c r="F74" s="5"/>
      <c r="G74" s="5"/>
      <c r="H74" s="3">
        <f t="shared" si="4"/>
        <v>0</v>
      </c>
      <c r="I74" s="3">
        <f t="shared" si="5"/>
        <v>0</v>
      </c>
    </row>
    <row r="75" spans="1:9" x14ac:dyDescent="0.2">
      <c r="A75" s="1" t="s">
        <v>696</v>
      </c>
      <c r="B75" s="2">
        <v>100762</v>
      </c>
      <c r="C75" s="2" t="s">
        <v>769</v>
      </c>
      <c r="D75" s="3">
        <v>506650</v>
      </c>
      <c r="E75" s="3">
        <v>89170471</v>
      </c>
      <c r="F75" s="5"/>
      <c r="G75" s="5"/>
      <c r="H75" s="3">
        <f t="shared" si="4"/>
        <v>0</v>
      </c>
      <c r="I75" s="3">
        <f t="shared" si="5"/>
        <v>0</v>
      </c>
    </row>
    <row r="76" spans="1:9" x14ac:dyDescent="0.2">
      <c r="A76" s="1" t="s">
        <v>696</v>
      </c>
      <c r="B76" s="2">
        <v>100151</v>
      </c>
      <c r="C76" s="2" t="s">
        <v>770</v>
      </c>
      <c r="D76" s="3">
        <v>586476</v>
      </c>
      <c r="E76" s="3">
        <v>103219875</v>
      </c>
      <c r="F76" s="5"/>
      <c r="G76" s="5"/>
      <c r="H76" s="3">
        <f t="shared" si="4"/>
        <v>0</v>
      </c>
      <c r="I76" s="3">
        <f t="shared" si="5"/>
        <v>0</v>
      </c>
    </row>
    <row r="77" spans="1:9" x14ac:dyDescent="0.2">
      <c r="A77" s="1" t="s">
        <v>696</v>
      </c>
      <c r="B77" s="2">
        <v>100167</v>
      </c>
      <c r="C77" s="2" t="s">
        <v>771</v>
      </c>
      <c r="D77" s="3">
        <v>594707</v>
      </c>
      <c r="E77" s="3">
        <v>104668575</v>
      </c>
      <c r="F77" s="5"/>
      <c r="G77" s="5"/>
      <c r="H77" s="3">
        <f t="shared" si="4"/>
        <v>0</v>
      </c>
      <c r="I77" s="3">
        <f t="shared" si="5"/>
        <v>0</v>
      </c>
    </row>
    <row r="78" spans="1:9" x14ac:dyDescent="0.2">
      <c r="A78" s="1" t="s">
        <v>696</v>
      </c>
      <c r="B78" s="2">
        <v>100864</v>
      </c>
      <c r="C78" s="2" t="s">
        <v>772</v>
      </c>
      <c r="D78" s="3">
        <v>459615</v>
      </c>
      <c r="E78" s="3">
        <v>80892308</v>
      </c>
      <c r="F78" s="5"/>
      <c r="G78" s="5"/>
      <c r="H78" s="3">
        <f t="shared" si="4"/>
        <v>0</v>
      </c>
      <c r="I78" s="3">
        <f t="shared" si="5"/>
        <v>0</v>
      </c>
    </row>
    <row r="79" spans="1:9" x14ac:dyDescent="0.2">
      <c r="A79" s="1" t="s">
        <v>696</v>
      </c>
      <c r="B79" s="2">
        <v>100239</v>
      </c>
      <c r="C79" s="2" t="s">
        <v>773</v>
      </c>
      <c r="D79" s="3">
        <v>565898</v>
      </c>
      <c r="E79" s="3">
        <v>99598125</v>
      </c>
      <c r="F79" s="5"/>
      <c r="G79" s="5"/>
      <c r="H79" s="3">
        <f t="shared" si="4"/>
        <v>0</v>
      </c>
      <c r="I79" s="3">
        <f t="shared" si="5"/>
        <v>0</v>
      </c>
    </row>
    <row r="80" spans="1:9" x14ac:dyDescent="0.2">
      <c r="A80" s="1" t="s">
        <v>696</v>
      </c>
      <c r="B80" s="2">
        <v>101302</v>
      </c>
      <c r="C80" s="2" t="s">
        <v>774</v>
      </c>
      <c r="D80" s="3">
        <v>417961</v>
      </c>
      <c r="E80" s="3">
        <v>73561264</v>
      </c>
      <c r="F80" s="5"/>
      <c r="G80" s="5"/>
      <c r="H80" s="3">
        <f t="shared" si="4"/>
        <v>0</v>
      </c>
      <c r="I80" s="3">
        <f t="shared" si="5"/>
        <v>0</v>
      </c>
    </row>
    <row r="81" spans="1:9" x14ac:dyDescent="0.2">
      <c r="A81" s="1" t="s">
        <v>696</v>
      </c>
      <c r="B81" s="2">
        <v>100369</v>
      </c>
      <c r="C81" s="2" t="s">
        <v>775</v>
      </c>
      <c r="D81" s="3">
        <v>532452</v>
      </c>
      <c r="E81" s="3">
        <v>93711574</v>
      </c>
      <c r="F81" s="5"/>
      <c r="G81" s="5"/>
      <c r="H81" s="3">
        <f t="shared" si="4"/>
        <v>0</v>
      </c>
      <c r="I81" s="3">
        <f t="shared" si="5"/>
        <v>0</v>
      </c>
    </row>
    <row r="82" spans="1:9" x14ac:dyDescent="0.2">
      <c r="A82" s="1" t="s">
        <v>696</v>
      </c>
      <c r="B82" s="2">
        <v>101228</v>
      </c>
      <c r="C82" s="2" t="s">
        <v>776</v>
      </c>
      <c r="D82" s="3">
        <v>442754</v>
      </c>
      <c r="E82" s="3">
        <v>77924791</v>
      </c>
      <c r="F82" s="5"/>
      <c r="G82" s="5"/>
      <c r="H82" s="3">
        <f t="shared" si="4"/>
        <v>0</v>
      </c>
      <c r="I82" s="3">
        <f t="shared" si="5"/>
        <v>0</v>
      </c>
    </row>
    <row r="83" spans="1:9" x14ac:dyDescent="0.2">
      <c r="A83" s="1" t="s">
        <v>696</v>
      </c>
      <c r="B83" s="2">
        <v>100877</v>
      </c>
      <c r="C83" s="2" t="s">
        <v>777</v>
      </c>
      <c r="D83" s="3">
        <v>552030</v>
      </c>
      <c r="E83" s="3">
        <v>97157388</v>
      </c>
      <c r="F83" s="5"/>
      <c r="G83" s="5"/>
      <c r="H83" s="3">
        <f t="shared" si="4"/>
        <v>0</v>
      </c>
      <c r="I83" s="3">
        <f t="shared" si="5"/>
        <v>0</v>
      </c>
    </row>
    <row r="84" spans="1:9" x14ac:dyDescent="0.2">
      <c r="A84" s="1" t="s">
        <v>696</v>
      </c>
      <c r="B84" s="2">
        <v>101439</v>
      </c>
      <c r="C84" s="2" t="s">
        <v>778</v>
      </c>
      <c r="D84" s="3">
        <v>382633</v>
      </c>
      <c r="E84" s="3">
        <v>67343424</v>
      </c>
      <c r="F84" s="5"/>
      <c r="G84" s="5"/>
      <c r="H84" s="3">
        <f t="shared" si="4"/>
        <v>0</v>
      </c>
      <c r="I84" s="3">
        <f t="shared" si="5"/>
        <v>0</v>
      </c>
    </row>
    <row r="85" spans="1:9" x14ac:dyDescent="0.2">
      <c r="A85" s="1" t="s">
        <v>696</v>
      </c>
      <c r="B85" s="2">
        <v>100502</v>
      </c>
      <c r="C85" s="2" t="s">
        <v>779</v>
      </c>
      <c r="D85" s="3">
        <v>544821</v>
      </c>
      <c r="E85" s="3">
        <v>95888520</v>
      </c>
      <c r="F85" s="5"/>
      <c r="G85" s="5"/>
      <c r="H85" s="3">
        <f t="shared" si="4"/>
        <v>0</v>
      </c>
      <c r="I85" s="3">
        <f t="shared" si="5"/>
        <v>0</v>
      </c>
    </row>
    <row r="86" spans="1:9" x14ac:dyDescent="0.2">
      <c r="A86" s="1" t="s">
        <v>696</v>
      </c>
      <c r="B86" s="2">
        <v>100288</v>
      </c>
      <c r="C86" s="2" t="s">
        <v>780</v>
      </c>
      <c r="D86" s="3">
        <v>594707</v>
      </c>
      <c r="E86" s="3">
        <v>104668575</v>
      </c>
      <c r="F86" s="5"/>
      <c r="G86" s="5"/>
      <c r="H86" s="3">
        <f t="shared" si="4"/>
        <v>0</v>
      </c>
      <c r="I86" s="3">
        <f t="shared" si="5"/>
        <v>0</v>
      </c>
    </row>
    <row r="87" spans="1:9" x14ac:dyDescent="0.2">
      <c r="A87" s="1" t="s">
        <v>696</v>
      </c>
      <c r="B87" s="2">
        <v>100144</v>
      </c>
      <c r="C87" s="2" t="s">
        <v>781</v>
      </c>
      <c r="D87" s="3">
        <v>586476</v>
      </c>
      <c r="E87" s="3">
        <v>103219875</v>
      </c>
      <c r="F87" s="5"/>
      <c r="G87" s="5"/>
      <c r="H87" s="3">
        <f t="shared" si="4"/>
        <v>0</v>
      </c>
      <c r="I87" s="3">
        <f t="shared" si="5"/>
        <v>0</v>
      </c>
    </row>
    <row r="88" spans="1:9" x14ac:dyDescent="0.2">
      <c r="A88" s="1" t="s">
        <v>696</v>
      </c>
      <c r="B88" s="2">
        <v>100405</v>
      </c>
      <c r="C88" s="2" t="s">
        <v>782</v>
      </c>
      <c r="D88" s="3">
        <v>549177</v>
      </c>
      <c r="E88" s="3">
        <v>96655172</v>
      </c>
      <c r="F88" s="5"/>
      <c r="G88" s="5"/>
      <c r="H88" s="3">
        <f t="shared" si="4"/>
        <v>0</v>
      </c>
      <c r="I88" s="3">
        <f t="shared" si="5"/>
        <v>0</v>
      </c>
    </row>
    <row r="89" spans="1:9" x14ac:dyDescent="0.2">
      <c r="A89" s="1" t="s">
        <v>696</v>
      </c>
      <c r="B89" s="2">
        <v>100366</v>
      </c>
      <c r="C89" s="2" t="s">
        <v>783</v>
      </c>
      <c r="D89" s="3">
        <v>543262</v>
      </c>
      <c r="E89" s="3">
        <v>95614200</v>
      </c>
      <c r="F89" s="5"/>
      <c r="G89" s="5"/>
      <c r="H89" s="3">
        <f t="shared" si="4"/>
        <v>0</v>
      </c>
      <c r="I89" s="3">
        <f t="shared" si="5"/>
        <v>0</v>
      </c>
    </row>
    <row r="90" spans="1:9" x14ac:dyDescent="0.2">
      <c r="A90" s="1" t="s">
        <v>696</v>
      </c>
      <c r="B90" s="2">
        <v>100260</v>
      </c>
      <c r="C90" s="2" t="s">
        <v>784</v>
      </c>
      <c r="D90" s="3">
        <v>538460</v>
      </c>
      <c r="E90" s="3">
        <v>94769125</v>
      </c>
      <c r="F90" s="5"/>
      <c r="G90" s="5"/>
      <c r="H90" s="3">
        <f t="shared" si="4"/>
        <v>0</v>
      </c>
      <c r="I90" s="3">
        <f t="shared" si="5"/>
        <v>0</v>
      </c>
    </row>
    <row r="91" spans="1:9" x14ac:dyDescent="0.2">
      <c r="A91" s="1" t="s">
        <v>696</v>
      </c>
      <c r="B91" s="2">
        <v>100350</v>
      </c>
      <c r="C91" s="2" t="s">
        <v>785</v>
      </c>
      <c r="D91" s="3">
        <v>544561</v>
      </c>
      <c r="E91" s="3">
        <v>95842800</v>
      </c>
      <c r="F91" s="5"/>
      <c r="G91" s="5"/>
      <c r="H91" s="3">
        <f t="shared" si="4"/>
        <v>0</v>
      </c>
      <c r="I91" s="3">
        <f t="shared" si="5"/>
        <v>0</v>
      </c>
    </row>
    <row r="92" spans="1:9" x14ac:dyDescent="0.2">
      <c r="A92" s="1" t="s">
        <v>696</v>
      </c>
      <c r="B92" s="2">
        <v>100278</v>
      </c>
      <c r="C92" s="2" t="s">
        <v>786</v>
      </c>
      <c r="D92" s="3">
        <v>559478</v>
      </c>
      <c r="E92" s="3">
        <v>98468139</v>
      </c>
      <c r="F92" s="5"/>
      <c r="G92" s="5"/>
      <c r="H92" s="3">
        <f t="shared" si="4"/>
        <v>0</v>
      </c>
      <c r="I92" s="3">
        <f t="shared" si="5"/>
        <v>0</v>
      </c>
    </row>
  </sheetData>
  <mergeCells count="1">
    <mergeCell ref="A1:I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DABF-DB5D-4546-9E2C-0CED477AB584}">
  <dimension ref="A1:K17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787</v>
      </c>
      <c r="B3" s="2">
        <v>100910</v>
      </c>
      <c r="C3" s="2" t="s">
        <v>788</v>
      </c>
      <c r="D3" s="3">
        <v>342118</v>
      </c>
      <c r="E3" s="3">
        <v>60212801</v>
      </c>
      <c r="F3" s="5"/>
      <c r="G3" s="5"/>
      <c r="H3" s="3">
        <f t="shared" ref="H3:H16" si="0">F3*D3</f>
        <v>0</v>
      </c>
      <c r="I3" s="3">
        <f t="shared" ref="I3:I16" si="1">(G3*E3)/100</f>
        <v>0</v>
      </c>
    </row>
    <row r="4" spans="1:11" x14ac:dyDescent="0.2">
      <c r="A4" s="1" t="s">
        <v>787</v>
      </c>
      <c r="B4" s="2">
        <v>101328</v>
      </c>
      <c r="C4" s="2" t="s">
        <v>789</v>
      </c>
      <c r="D4" s="3">
        <v>388188</v>
      </c>
      <c r="E4" s="3">
        <v>68321105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787</v>
      </c>
      <c r="B5" s="2">
        <v>101867</v>
      </c>
      <c r="C5" s="2" t="s">
        <v>790</v>
      </c>
      <c r="D5" s="3">
        <v>255168</v>
      </c>
      <c r="E5" s="3">
        <v>44909700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787</v>
      </c>
      <c r="B6" s="2">
        <v>100927</v>
      </c>
      <c r="C6" s="2" t="s">
        <v>791</v>
      </c>
      <c r="D6" s="3">
        <v>462737</v>
      </c>
      <c r="E6" s="3">
        <v>81441773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520640185</v>
      </c>
    </row>
    <row r="7" spans="1:11" ht="22.5" x14ac:dyDescent="0.6">
      <c r="A7" s="1" t="s">
        <v>787</v>
      </c>
      <c r="B7" s="2">
        <v>101774</v>
      </c>
      <c r="C7" s="2" t="s">
        <v>792</v>
      </c>
      <c r="D7" s="3">
        <v>456237</v>
      </c>
      <c r="E7" s="3">
        <v>71661840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621347609</v>
      </c>
    </row>
    <row r="8" spans="1:11" x14ac:dyDescent="0.2">
      <c r="A8" s="1" t="s">
        <v>787</v>
      </c>
      <c r="B8" s="2">
        <v>101462</v>
      </c>
      <c r="C8" s="2" t="s">
        <v>793</v>
      </c>
      <c r="D8" s="3">
        <v>466265</v>
      </c>
      <c r="E8" s="3">
        <v>82062658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787</v>
      </c>
      <c r="B9" s="2">
        <v>101283</v>
      </c>
      <c r="C9" s="2" t="s">
        <v>794</v>
      </c>
      <c r="D9" s="3">
        <v>391496</v>
      </c>
      <c r="E9" s="3">
        <v>68903394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 t="s">
        <v>787</v>
      </c>
      <c r="B10" s="2">
        <v>101304</v>
      </c>
      <c r="C10" s="2" t="s">
        <v>795</v>
      </c>
      <c r="D10" s="3">
        <v>359290</v>
      </c>
      <c r="E10" s="3">
        <v>63235104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 t="s">
        <v>787</v>
      </c>
      <c r="B11" s="2">
        <v>100607</v>
      </c>
      <c r="C11" s="2" t="s">
        <v>796</v>
      </c>
      <c r="D11" s="3">
        <v>280246</v>
      </c>
      <c r="E11" s="3">
        <v>49323406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 t="s">
        <v>787</v>
      </c>
      <c r="B12" s="2">
        <v>101255</v>
      </c>
      <c r="C12" s="2" t="s">
        <v>797</v>
      </c>
      <c r="D12" s="3">
        <v>426918</v>
      </c>
      <c r="E12" s="3">
        <v>75137633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 t="s">
        <v>787</v>
      </c>
      <c r="B13" s="2">
        <v>101199</v>
      </c>
      <c r="C13" s="2" t="s">
        <v>798</v>
      </c>
      <c r="D13" s="3">
        <v>462477</v>
      </c>
      <c r="E13" s="3">
        <v>81396017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 t="s">
        <v>787</v>
      </c>
      <c r="B14" s="2">
        <v>101875</v>
      </c>
      <c r="C14" s="2" t="s">
        <v>799</v>
      </c>
      <c r="D14" s="3">
        <v>226359</v>
      </c>
      <c r="E14" s="3">
        <v>39839250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 t="s">
        <v>787</v>
      </c>
      <c r="B15" s="2">
        <v>100850</v>
      </c>
      <c r="C15" s="2" t="s">
        <v>61</v>
      </c>
      <c r="D15" s="3">
        <v>492557</v>
      </c>
      <c r="E15" s="3">
        <v>86690064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 t="s">
        <v>787</v>
      </c>
      <c r="B16" s="2">
        <v>100859</v>
      </c>
      <c r="C16" s="2" t="s">
        <v>800</v>
      </c>
      <c r="D16" s="3">
        <v>470367</v>
      </c>
      <c r="E16" s="3">
        <v>82784654</v>
      </c>
      <c r="F16" s="5"/>
      <c r="G16" s="5"/>
      <c r="H16" s="3">
        <f t="shared" si="0"/>
        <v>0</v>
      </c>
      <c r="I16" s="3">
        <f t="shared" si="1"/>
        <v>0</v>
      </c>
    </row>
    <row r="17" spans="8:9" x14ac:dyDescent="0.2">
      <c r="H17" s="9">
        <f t="shared" ref="H17:I17" si="2">SUM(H3:H16)</f>
        <v>0</v>
      </c>
      <c r="I17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CF5C-93B1-4819-BEE9-A14AF93D12C2}">
  <dimension ref="A1:K7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801</v>
      </c>
      <c r="B3" s="2">
        <v>100824</v>
      </c>
      <c r="C3" s="2" t="s">
        <v>802</v>
      </c>
      <c r="D3" s="3">
        <v>478415</v>
      </c>
      <c r="E3" s="3">
        <v>84201178</v>
      </c>
      <c r="F3" s="5"/>
      <c r="G3" s="5"/>
      <c r="H3" s="3">
        <f>F3*D3</f>
        <v>0</v>
      </c>
      <c r="I3" s="3">
        <f>(G3*E3)/100</f>
        <v>0</v>
      </c>
    </row>
    <row r="4" spans="1:11" x14ac:dyDescent="0.2">
      <c r="A4" s="1" t="s">
        <v>801</v>
      </c>
      <c r="B4" s="2">
        <v>101225</v>
      </c>
      <c r="C4" s="2" t="s">
        <v>803</v>
      </c>
      <c r="D4" s="3">
        <v>346725</v>
      </c>
      <c r="E4" s="3">
        <v>61023661</v>
      </c>
      <c r="F4" s="5"/>
      <c r="G4" s="5"/>
      <c r="H4" s="3">
        <f>F4*D4</f>
        <v>0</v>
      </c>
      <c r="I4" s="3">
        <f>(G4*E4)/100</f>
        <v>0</v>
      </c>
    </row>
    <row r="5" spans="1:11" x14ac:dyDescent="0.2">
      <c r="H5" s="9">
        <f t="shared" ref="H5:I5" si="0">SUM(H3:H4)</f>
        <v>0</v>
      </c>
      <c r="I5" s="9">
        <f t="shared" si="0"/>
        <v>0</v>
      </c>
    </row>
    <row r="6" spans="1:11" ht="22.5" x14ac:dyDescent="0.6">
      <c r="J6" s="8" t="s">
        <v>1246</v>
      </c>
      <c r="K6" s="11">
        <v>74262600</v>
      </c>
    </row>
    <row r="7" spans="1:11" ht="22.5" x14ac:dyDescent="0.6">
      <c r="J7" s="8" t="s">
        <v>1247</v>
      </c>
      <c r="K7" s="11">
        <v>91491649</v>
      </c>
    </row>
  </sheetData>
  <mergeCells count="1">
    <mergeCell ref="A1:I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99003-3B45-40DF-830C-51646BF08E2B}">
  <dimension ref="A1:K35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>
        <v>1604</v>
      </c>
      <c r="B3" s="2">
        <v>100912</v>
      </c>
      <c r="C3" s="2" t="s">
        <v>804</v>
      </c>
      <c r="D3" s="3">
        <v>360885</v>
      </c>
      <c r="E3" s="3">
        <v>63515837</v>
      </c>
      <c r="F3" s="5"/>
      <c r="G3" s="5"/>
      <c r="H3" s="3">
        <f t="shared" ref="H3:H34" si="0">F3*D3</f>
        <v>0</v>
      </c>
      <c r="I3" s="3">
        <f t="shared" ref="I3:I34" si="1">(G3*E3)/100</f>
        <v>0</v>
      </c>
    </row>
    <row r="4" spans="1:11" x14ac:dyDescent="0.2">
      <c r="A4" s="1">
        <v>1604</v>
      </c>
      <c r="B4" s="2">
        <v>101286</v>
      </c>
      <c r="C4" s="2" t="s">
        <v>805</v>
      </c>
      <c r="D4" s="3">
        <v>421894</v>
      </c>
      <c r="E4" s="3">
        <v>74253484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>
        <v>1604</v>
      </c>
      <c r="B5" s="2">
        <v>100917</v>
      </c>
      <c r="C5" s="2" t="s">
        <v>806</v>
      </c>
      <c r="D5" s="3">
        <v>405334</v>
      </c>
      <c r="E5" s="3">
        <v>71338817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>
        <v>1604</v>
      </c>
      <c r="B6" s="2">
        <v>101777</v>
      </c>
      <c r="C6" s="2" t="s">
        <v>807</v>
      </c>
      <c r="D6" s="3">
        <v>309357</v>
      </c>
      <c r="E6" s="3">
        <v>54446975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1332271605</v>
      </c>
    </row>
    <row r="7" spans="1:11" ht="22.5" x14ac:dyDescent="0.6">
      <c r="A7" s="1">
        <v>1604</v>
      </c>
      <c r="B7" s="2">
        <v>101571</v>
      </c>
      <c r="C7" s="2" t="s">
        <v>808</v>
      </c>
      <c r="D7" s="3">
        <v>360967</v>
      </c>
      <c r="E7" s="3">
        <v>63530324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1563200852</v>
      </c>
    </row>
    <row r="8" spans="1:11" x14ac:dyDescent="0.2">
      <c r="A8" s="1">
        <v>1604</v>
      </c>
      <c r="B8" s="2">
        <v>101937</v>
      </c>
      <c r="C8" s="2" t="s">
        <v>809</v>
      </c>
      <c r="D8" s="3">
        <v>226359</v>
      </c>
      <c r="E8" s="3">
        <v>39839250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>
        <v>1604</v>
      </c>
      <c r="B9" s="2">
        <v>101939</v>
      </c>
      <c r="C9" s="2" t="s">
        <v>810</v>
      </c>
      <c r="D9" s="3">
        <v>255168</v>
      </c>
      <c r="E9" s="3">
        <v>44909700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>
        <v>1604</v>
      </c>
      <c r="B10" s="2">
        <v>100528</v>
      </c>
      <c r="C10" s="2" t="s">
        <v>811</v>
      </c>
      <c r="D10" s="3">
        <v>485084</v>
      </c>
      <c r="E10" s="3">
        <v>85374890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>
        <v>1604</v>
      </c>
      <c r="B11" s="2">
        <v>101468</v>
      </c>
      <c r="C11" s="2" t="s">
        <v>812</v>
      </c>
      <c r="D11" s="3">
        <v>426756</v>
      </c>
      <c r="E11" s="3">
        <v>75109209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>
        <v>1604</v>
      </c>
      <c r="B12" s="2">
        <v>100737</v>
      </c>
      <c r="C12" s="2" t="s">
        <v>813</v>
      </c>
      <c r="D12" s="3">
        <v>456187</v>
      </c>
      <c r="E12" s="3">
        <v>80289030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>
        <v>1604</v>
      </c>
      <c r="B13" s="2">
        <v>100779</v>
      </c>
      <c r="C13" s="2" t="s">
        <v>814</v>
      </c>
      <c r="D13" s="3">
        <v>452411</v>
      </c>
      <c r="E13" s="3">
        <v>79624481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>
        <v>1604</v>
      </c>
      <c r="B14" s="2">
        <v>200237</v>
      </c>
      <c r="C14" s="2" t="s">
        <v>815</v>
      </c>
      <c r="D14" s="3">
        <v>430849</v>
      </c>
      <c r="E14" s="3">
        <v>75829447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>
        <v>1604</v>
      </c>
      <c r="B15" s="2">
        <v>101120</v>
      </c>
      <c r="C15" s="2" t="s">
        <v>816</v>
      </c>
      <c r="D15" s="3">
        <v>510917</v>
      </c>
      <c r="E15" s="3">
        <v>89921510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>
        <v>1604</v>
      </c>
      <c r="B16" s="2">
        <v>101486</v>
      </c>
      <c r="C16" s="2" t="s">
        <v>817</v>
      </c>
      <c r="D16" s="3">
        <v>379653</v>
      </c>
      <c r="E16" s="3">
        <v>66819047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>
        <v>1604</v>
      </c>
      <c r="B17" s="2">
        <v>101941</v>
      </c>
      <c r="C17" s="2" t="s">
        <v>818</v>
      </c>
      <c r="D17" s="3">
        <v>226359</v>
      </c>
      <c r="E17" s="3">
        <v>39839250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>
        <v>1604</v>
      </c>
      <c r="B18" s="2">
        <v>101746</v>
      </c>
      <c r="C18" s="2" t="s">
        <v>819</v>
      </c>
      <c r="D18" s="3">
        <v>333283</v>
      </c>
      <c r="E18" s="3">
        <v>58657863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>
        <v>1604</v>
      </c>
      <c r="B19" s="2">
        <v>101882</v>
      </c>
      <c r="C19" s="2" t="s">
        <v>820</v>
      </c>
      <c r="D19" s="3">
        <v>255168</v>
      </c>
      <c r="E19" s="3">
        <v>44909700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>
        <v>1604</v>
      </c>
      <c r="B20" s="2">
        <v>101473</v>
      </c>
      <c r="C20" s="2" t="s">
        <v>498</v>
      </c>
      <c r="D20" s="3">
        <v>400991</v>
      </c>
      <c r="E20" s="3">
        <v>70574539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A21" s="1">
        <v>1604</v>
      </c>
      <c r="B21" s="2">
        <v>101189</v>
      </c>
      <c r="C21" s="2" t="s">
        <v>821</v>
      </c>
      <c r="D21" s="3">
        <v>440214</v>
      </c>
      <c r="E21" s="3">
        <v>77477750</v>
      </c>
      <c r="F21" s="5"/>
      <c r="G21" s="5"/>
      <c r="H21" s="3">
        <f t="shared" si="0"/>
        <v>0</v>
      </c>
      <c r="I21" s="3">
        <f t="shared" si="1"/>
        <v>0</v>
      </c>
    </row>
    <row r="22" spans="1:9" x14ac:dyDescent="0.2">
      <c r="A22" s="1">
        <v>1604</v>
      </c>
      <c r="B22" s="2">
        <v>100696</v>
      </c>
      <c r="C22" s="2" t="s">
        <v>822</v>
      </c>
      <c r="D22" s="3">
        <v>525278</v>
      </c>
      <c r="E22" s="3">
        <v>92448930</v>
      </c>
      <c r="F22" s="5"/>
      <c r="G22" s="5"/>
      <c r="H22" s="3">
        <f t="shared" si="0"/>
        <v>0</v>
      </c>
      <c r="I22" s="3">
        <f t="shared" si="1"/>
        <v>0</v>
      </c>
    </row>
    <row r="23" spans="1:9" x14ac:dyDescent="0.2">
      <c r="A23" s="1">
        <v>1604</v>
      </c>
      <c r="B23" s="2">
        <v>100731</v>
      </c>
      <c r="C23" s="2" t="s">
        <v>823</v>
      </c>
      <c r="D23" s="3">
        <v>411558</v>
      </c>
      <c r="E23" s="3">
        <v>72434267</v>
      </c>
      <c r="F23" s="5"/>
      <c r="G23" s="5"/>
      <c r="H23" s="3">
        <f t="shared" si="0"/>
        <v>0</v>
      </c>
      <c r="I23" s="3">
        <f t="shared" si="1"/>
        <v>0</v>
      </c>
    </row>
    <row r="24" spans="1:9" x14ac:dyDescent="0.2">
      <c r="A24" s="1">
        <v>1604</v>
      </c>
      <c r="B24" s="2">
        <v>100732</v>
      </c>
      <c r="C24" s="2" t="s">
        <v>824</v>
      </c>
      <c r="D24" s="3">
        <v>523554</v>
      </c>
      <c r="E24" s="3">
        <v>92145577</v>
      </c>
      <c r="F24" s="5"/>
      <c r="G24" s="5"/>
      <c r="H24" s="3">
        <f t="shared" si="0"/>
        <v>0</v>
      </c>
      <c r="I24" s="3">
        <f t="shared" si="1"/>
        <v>0</v>
      </c>
    </row>
    <row r="25" spans="1:9" x14ac:dyDescent="0.2">
      <c r="A25" s="1">
        <v>1604</v>
      </c>
      <c r="B25" s="2">
        <v>100132</v>
      </c>
      <c r="C25" s="2" t="s">
        <v>825</v>
      </c>
      <c r="D25" s="3">
        <v>524056</v>
      </c>
      <c r="E25" s="3">
        <v>92233900</v>
      </c>
      <c r="F25" s="5"/>
      <c r="G25" s="5"/>
      <c r="H25" s="3">
        <f t="shared" si="0"/>
        <v>0</v>
      </c>
      <c r="I25" s="3">
        <f t="shared" si="1"/>
        <v>0</v>
      </c>
    </row>
    <row r="26" spans="1:9" x14ac:dyDescent="0.2">
      <c r="A26" s="1">
        <v>1604</v>
      </c>
      <c r="B26" s="2">
        <v>101258</v>
      </c>
      <c r="C26" s="2" t="s">
        <v>826</v>
      </c>
      <c r="D26" s="3">
        <v>443906</v>
      </c>
      <c r="E26" s="3">
        <v>78127609</v>
      </c>
      <c r="F26" s="5"/>
      <c r="G26" s="5"/>
      <c r="H26" s="3">
        <f t="shared" si="0"/>
        <v>0</v>
      </c>
      <c r="I26" s="3">
        <f t="shared" si="1"/>
        <v>0</v>
      </c>
    </row>
    <row r="27" spans="1:9" x14ac:dyDescent="0.2">
      <c r="A27" s="1">
        <v>1604</v>
      </c>
      <c r="B27" s="2">
        <v>100775</v>
      </c>
      <c r="C27" s="2" t="s">
        <v>827</v>
      </c>
      <c r="D27" s="3">
        <v>481860</v>
      </c>
      <c r="E27" s="3">
        <v>84807504</v>
      </c>
      <c r="F27" s="5"/>
      <c r="G27" s="5"/>
      <c r="H27" s="3">
        <f t="shared" si="0"/>
        <v>0</v>
      </c>
      <c r="I27" s="3">
        <f t="shared" si="1"/>
        <v>0</v>
      </c>
    </row>
    <row r="28" spans="1:9" x14ac:dyDescent="0.2">
      <c r="A28" s="1">
        <v>1604</v>
      </c>
      <c r="B28" s="2">
        <v>101936</v>
      </c>
      <c r="C28" s="2" t="s">
        <v>828</v>
      </c>
      <c r="D28" s="3">
        <v>226359</v>
      </c>
      <c r="E28" s="3">
        <v>39839250</v>
      </c>
      <c r="F28" s="5"/>
      <c r="G28" s="5"/>
      <c r="H28" s="3">
        <f t="shared" si="0"/>
        <v>0</v>
      </c>
      <c r="I28" s="3">
        <f t="shared" si="1"/>
        <v>0</v>
      </c>
    </row>
    <row r="29" spans="1:9" x14ac:dyDescent="0.2">
      <c r="A29" s="1">
        <v>1604</v>
      </c>
      <c r="B29" s="2">
        <v>101437</v>
      </c>
      <c r="C29" s="2" t="s">
        <v>829</v>
      </c>
      <c r="D29" s="3">
        <v>397528</v>
      </c>
      <c r="E29" s="3">
        <v>69965057</v>
      </c>
      <c r="F29" s="5"/>
      <c r="G29" s="5"/>
      <c r="H29" s="3">
        <f t="shared" si="0"/>
        <v>0</v>
      </c>
      <c r="I29" s="3">
        <f t="shared" si="1"/>
        <v>0</v>
      </c>
    </row>
    <row r="30" spans="1:9" x14ac:dyDescent="0.2">
      <c r="A30" s="1">
        <v>1604</v>
      </c>
      <c r="B30" s="2">
        <v>101143</v>
      </c>
      <c r="C30" s="2" t="s">
        <v>830</v>
      </c>
      <c r="D30" s="3">
        <v>413746</v>
      </c>
      <c r="E30" s="3">
        <v>72819379</v>
      </c>
      <c r="F30" s="5"/>
      <c r="G30" s="5"/>
      <c r="H30" s="3">
        <f t="shared" si="0"/>
        <v>0</v>
      </c>
      <c r="I30" s="3">
        <f t="shared" si="1"/>
        <v>0</v>
      </c>
    </row>
    <row r="31" spans="1:9" x14ac:dyDescent="0.2">
      <c r="A31" s="1">
        <v>1604</v>
      </c>
      <c r="B31" s="2">
        <v>100571</v>
      </c>
      <c r="C31" s="2" t="s">
        <v>831</v>
      </c>
      <c r="D31" s="3">
        <v>539832</v>
      </c>
      <c r="E31" s="3">
        <v>95010575</v>
      </c>
      <c r="F31" s="5"/>
      <c r="G31" s="5"/>
      <c r="H31" s="3">
        <f t="shared" si="0"/>
        <v>0</v>
      </c>
      <c r="I31" s="3">
        <f t="shared" si="1"/>
        <v>0</v>
      </c>
    </row>
    <row r="32" spans="1:9" x14ac:dyDescent="0.2">
      <c r="A32" s="1">
        <v>1604</v>
      </c>
      <c r="B32" s="2">
        <v>101782</v>
      </c>
      <c r="C32" s="2" t="s">
        <v>832</v>
      </c>
      <c r="D32" s="3">
        <v>209156</v>
      </c>
      <c r="E32" s="3">
        <v>36811467</v>
      </c>
      <c r="F32" s="5"/>
      <c r="G32" s="5"/>
      <c r="H32" s="3">
        <f t="shared" si="0"/>
        <v>0</v>
      </c>
      <c r="I32" s="3">
        <f t="shared" si="1"/>
        <v>0</v>
      </c>
    </row>
    <row r="33" spans="1:9" x14ac:dyDescent="0.2">
      <c r="A33" s="1">
        <v>1604</v>
      </c>
      <c r="B33" s="2">
        <v>101171</v>
      </c>
      <c r="C33" s="2" t="s">
        <v>833</v>
      </c>
      <c r="D33" s="3">
        <v>414756</v>
      </c>
      <c r="E33" s="3">
        <v>72997191</v>
      </c>
      <c r="F33" s="5"/>
      <c r="G33" s="5"/>
      <c r="H33" s="3">
        <f t="shared" si="0"/>
        <v>0</v>
      </c>
      <c r="I33" s="3">
        <f t="shared" si="1"/>
        <v>0</v>
      </c>
    </row>
    <row r="34" spans="1:9" x14ac:dyDescent="0.2">
      <c r="A34" s="1">
        <v>1604</v>
      </c>
      <c r="B34" s="2">
        <v>101311</v>
      </c>
      <c r="C34" s="2" t="s">
        <v>834</v>
      </c>
      <c r="D34" s="3">
        <v>438876</v>
      </c>
      <c r="E34" s="3">
        <v>77242265</v>
      </c>
      <c r="F34" s="5"/>
      <c r="G34" s="5"/>
      <c r="H34" s="3">
        <f t="shared" si="0"/>
        <v>0</v>
      </c>
      <c r="I34" s="3">
        <f t="shared" si="1"/>
        <v>0</v>
      </c>
    </row>
    <row r="35" spans="1:9" x14ac:dyDescent="0.2">
      <c r="H35" s="9">
        <f t="shared" ref="H35:I35" si="2">SUM(H3:H34)</f>
        <v>0</v>
      </c>
      <c r="I35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25CC-08A3-4AA6-BD27-5794066DFAEE}">
  <dimension ref="A1:K16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>
        <v>1609</v>
      </c>
      <c r="B3" s="2">
        <v>101795</v>
      </c>
      <c r="C3" s="2" t="s">
        <v>835</v>
      </c>
      <c r="D3" s="3">
        <v>281097</v>
      </c>
      <c r="E3" s="3">
        <v>49473105</v>
      </c>
      <c r="F3" s="5"/>
      <c r="G3" s="5"/>
      <c r="H3" s="3">
        <f t="shared" ref="H3:H15" si="0">F3*D3</f>
        <v>0</v>
      </c>
      <c r="I3" s="3">
        <f t="shared" ref="I3:I15" si="1">(G3*E3)/100</f>
        <v>0</v>
      </c>
    </row>
    <row r="4" spans="1:11" x14ac:dyDescent="0.2">
      <c r="A4" s="1">
        <v>1609</v>
      </c>
      <c r="B4" s="2">
        <v>101314</v>
      </c>
      <c r="C4" s="2" t="s">
        <v>836</v>
      </c>
      <c r="D4" s="3">
        <v>388372</v>
      </c>
      <c r="E4" s="3">
        <v>68353474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>
        <v>1609</v>
      </c>
      <c r="B5" s="2">
        <v>101556</v>
      </c>
      <c r="C5" s="2" t="s">
        <v>837</v>
      </c>
      <c r="D5" s="3">
        <v>390785</v>
      </c>
      <c r="E5" s="3">
        <v>68778246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>
        <v>1609</v>
      </c>
      <c r="B6" s="2">
        <v>101573</v>
      </c>
      <c r="C6" s="2" t="s">
        <v>838</v>
      </c>
      <c r="D6" s="3">
        <v>330347</v>
      </c>
      <c r="E6" s="3">
        <v>58141160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463410570</v>
      </c>
    </row>
    <row r="7" spans="1:11" ht="22.5" x14ac:dyDescent="0.6">
      <c r="A7" s="1">
        <v>1609</v>
      </c>
      <c r="B7" s="2">
        <v>100209</v>
      </c>
      <c r="C7" s="2" t="s">
        <v>839</v>
      </c>
      <c r="D7" s="3">
        <v>538460</v>
      </c>
      <c r="E7" s="3">
        <v>94769125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540873915</v>
      </c>
    </row>
    <row r="8" spans="1:11" x14ac:dyDescent="0.2">
      <c r="A8" s="1">
        <v>1609</v>
      </c>
      <c r="B8" s="2">
        <v>101319</v>
      </c>
      <c r="C8" s="2" t="s">
        <v>840</v>
      </c>
      <c r="D8" s="3">
        <v>337837</v>
      </c>
      <c r="E8" s="3">
        <v>59459477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>
        <v>1609</v>
      </c>
      <c r="B9" s="2">
        <v>101480</v>
      </c>
      <c r="C9" s="2" t="s">
        <v>841</v>
      </c>
      <c r="D9" s="3">
        <v>427670</v>
      </c>
      <c r="E9" s="3">
        <v>75269941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>
        <v>1609</v>
      </c>
      <c r="B10" s="2">
        <v>101899</v>
      </c>
      <c r="C10" s="2" t="s">
        <v>842</v>
      </c>
      <c r="D10" s="3">
        <v>255168</v>
      </c>
      <c r="E10" s="3">
        <v>44909700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>
        <v>1609</v>
      </c>
      <c r="B11" s="2">
        <v>101207</v>
      </c>
      <c r="C11" s="2" t="s">
        <v>843</v>
      </c>
      <c r="D11" s="3">
        <v>417417</v>
      </c>
      <c r="E11" s="3">
        <v>73465460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>
        <v>1609</v>
      </c>
      <c r="B12" s="2">
        <v>101752</v>
      </c>
      <c r="C12" s="2" t="s">
        <v>844</v>
      </c>
      <c r="D12" s="3">
        <v>337591</v>
      </c>
      <c r="E12" s="3">
        <v>59416016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>
        <v>1609</v>
      </c>
      <c r="B13" s="2">
        <v>100555</v>
      </c>
      <c r="C13" s="2" t="s">
        <v>845</v>
      </c>
      <c r="D13" s="3">
        <v>537530</v>
      </c>
      <c r="E13" s="3">
        <v>94605296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>
        <v>1609</v>
      </c>
      <c r="B14" s="2">
        <v>101730</v>
      </c>
      <c r="C14" s="2" t="s">
        <v>846</v>
      </c>
      <c r="D14" s="3">
        <v>380564</v>
      </c>
      <c r="E14" s="3">
        <v>66979324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>
        <v>1609</v>
      </c>
      <c r="B15" s="2">
        <v>101955</v>
      </c>
      <c r="C15" s="2" t="s">
        <v>847</v>
      </c>
      <c r="D15" s="3">
        <v>255168</v>
      </c>
      <c r="E15" s="3">
        <v>44909700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H16" s="9">
        <f t="shared" ref="H16:I16" si="2">SUM(H3:H15)</f>
        <v>0</v>
      </c>
      <c r="I16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83B4B-B534-4EAF-8F80-436487C045BF}">
  <dimension ref="A1:K24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848</v>
      </c>
      <c r="B3" s="2">
        <v>101801</v>
      </c>
      <c r="C3" s="2" t="s">
        <v>849</v>
      </c>
      <c r="D3" s="3">
        <v>227072</v>
      </c>
      <c r="E3" s="3">
        <v>39964804</v>
      </c>
      <c r="F3" s="5"/>
      <c r="G3" s="5"/>
      <c r="H3" s="3">
        <f t="shared" ref="H3:H23" si="0">F3*D3</f>
        <v>0</v>
      </c>
      <c r="I3" s="3">
        <f t="shared" ref="I3:I23" si="1">(G3*E3)/100</f>
        <v>0</v>
      </c>
    </row>
    <row r="4" spans="1:11" x14ac:dyDescent="0.2">
      <c r="A4" s="1" t="s">
        <v>848</v>
      </c>
      <c r="B4" s="2">
        <v>100485</v>
      </c>
      <c r="C4" s="2" t="s">
        <v>850</v>
      </c>
      <c r="D4" s="3">
        <v>506463</v>
      </c>
      <c r="E4" s="3">
        <v>89137578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848</v>
      </c>
      <c r="B5" s="2">
        <v>101800</v>
      </c>
      <c r="C5" s="2" t="s">
        <v>851</v>
      </c>
      <c r="D5" s="3">
        <v>272619</v>
      </c>
      <c r="E5" s="3">
        <v>47980944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848</v>
      </c>
      <c r="B6" s="2">
        <v>101554</v>
      </c>
      <c r="C6" s="2" t="s">
        <v>852</v>
      </c>
      <c r="D6" s="3">
        <v>373708</v>
      </c>
      <c r="E6" s="3">
        <v>65772647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799292950</v>
      </c>
    </row>
    <row r="7" spans="1:11" ht="22.5" x14ac:dyDescent="0.6">
      <c r="A7" s="1" t="s">
        <v>848</v>
      </c>
      <c r="B7" s="2">
        <v>101444</v>
      </c>
      <c r="C7" s="2" t="s">
        <v>853</v>
      </c>
      <c r="D7" s="3">
        <v>421403</v>
      </c>
      <c r="E7" s="3">
        <v>74167043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962517985</v>
      </c>
    </row>
    <row r="8" spans="1:11" x14ac:dyDescent="0.2">
      <c r="A8" s="1" t="s">
        <v>848</v>
      </c>
      <c r="B8" s="2">
        <v>100807</v>
      </c>
      <c r="C8" s="2" t="s">
        <v>854</v>
      </c>
      <c r="D8" s="3">
        <v>401930</v>
      </c>
      <c r="E8" s="3">
        <v>70739717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848</v>
      </c>
      <c r="B9" s="2">
        <v>101237</v>
      </c>
      <c r="C9" s="2" t="s">
        <v>855</v>
      </c>
      <c r="D9" s="3">
        <v>395385</v>
      </c>
      <c r="E9" s="3">
        <v>69587881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 t="s">
        <v>848</v>
      </c>
      <c r="B10" s="2">
        <v>100968</v>
      </c>
      <c r="C10" s="2" t="s">
        <v>856</v>
      </c>
      <c r="D10" s="3">
        <v>383971</v>
      </c>
      <c r="E10" s="3">
        <v>67578998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 t="s">
        <v>848</v>
      </c>
      <c r="B11" s="2">
        <v>100466</v>
      </c>
      <c r="C11" s="2" t="s">
        <v>857</v>
      </c>
      <c r="D11" s="3">
        <v>559039</v>
      </c>
      <c r="E11" s="3">
        <v>98390875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 t="s">
        <v>848</v>
      </c>
      <c r="B12" s="2">
        <v>101150</v>
      </c>
      <c r="C12" s="2" t="s">
        <v>858</v>
      </c>
      <c r="D12" s="3">
        <v>420614</v>
      </c>
      <c r="E12" s="3">
        <v>74028158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 t="s">
        <v>848</v>
      </c>
      <c r="B13" s="2">
        <v>101277</v>
      </c>
      <c r="C13" s="2" t="s">
        <v>859</v>
      </c>
      <c r="D13" s="3">
        <v>398621</v>
      </c>
      <c r="E13" s="3">
        <v>70157297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 t="s">
        <v>848</v>
      </c>
      <c r="B14" s="2">
        <v>101396</v>
      </c>
      <c r="C14" s="2" t="s">
        <v>860</v>
      </c>
      <c r="D14" s="3">
        <v>385300</v>
      </c>
      <c r="E14" s="3">
        <v>67812829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 t="s">
        <v>848</v>
      </c>
      <c r="B15" s="2">
        <v>101962</v>
      </c>
      <c r="C15" s="2" t="s">
        <v>861</v>
      </c>
      <c r="D15" s="3">
        <v>244879</v>
      </c>
      <c r="E15" s="3">
        <v>43098825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 t="s">
        <v>848</v>
      </c>
      <c r="B16" s="2">
        <v>100529</v>
      </c>
      <c r="C16" s="2" t="s">
        <v>862</v>
      </c>
      <c r="D16" s="3">
        <v>454658</v>
      </c>
      <c r="E16" s="3">
        <v>80019958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 t="s">
        <v>848</v>
      </c>
      <c r="B17" s="2">
        <v>100347</v>
      </c>
      <c r="C17" s="2" t="s">
        <v>863</v>
      </c>
      <c r="D17" s="3">
        <v>544634</v>
      </c>
      <c r="E17" s="3">
        <v>95855650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 t="s">
        <v>848</v>
      </c>
      <c r="B18" s="2">
        <v>100441</v>
      </c>
      <c r="C18" s="2" t="s">
        <v>864</v>
      </c>
      <c r="D18" s="3">
        <v>484246</v>
      </c>
      <c r="E18" s="3">
        <v>85227378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 t="s">
        <v>848</v>
      </c>
      <c r="B19" s="2">
        <v>100819</v>
      </c>
      <c r="C19" s="2" t="s">
        <v>865</v>
      </c>
      <c r="D19" s="3">
        <v>471626</v>
      </c>
      <c r="E19" s="3">
        <v>83006228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 t="s">
        <v>848</v>
      </c>
      <c r="B20" s="2">
        <v>101557</v>
      </c>
      <c r="C20" s="2" t="s">
        <v>866</v>
      </c>
      <c r="D20" s="3">
        <v>372582</v>
      </c>
      <c r="E20" s="3">
        <v>65574527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A21" s="1" t="s">
        <v>848</v>
      </c>
      <c r="B21" s="2">
        <v>101735</v>
      </c>
      <c r="C21" s="2" t="s">
        <v>867</v>
      </c>
      <c r="D21" s="3">
        <v>307285</v>
      </c>
      <c r="E21" s="3">
        <v>54082162</v>
      </c>
      <c r="F21" s="5"/>
      <c r="G21" s="5"/>
      <c r="H21" s="3">
        <f t="shared" si="0"/>
        <v>0</v>
      </c>
      <c r="I21" s="3">
        <f t="shared" si="1"/>
        <v>0</v>
      </c>
    </row>
    <row r="22" spans="1:9" x14ac:dyDescent="0.2">
      <c r="A22" s="1" t="s">
        <v>848</v>
      </c>
      <c r="B22" s="2">
        <v>101070</v>
      </c>
      <c r="C22" s="2" t="s">
        <v>868</v>
      </c>
      <c r="D22" s="3">
        <v>344273</v>
      </c>
      <c r="E22" s="3">
        <v>60592099</v>
      </c>
      <c r="F22" s="5"/>
      <c r="G22" s="5"/>
      <c r="H22" s="3">
        <f t="shared" si="0"/>
        <v>0</v>
      </c>
      <c r="I22" s="3">
        <f t="shared" si="1"/>
        <v>0</v>
      </c>
    </row>
    <row r="23" spans="1:9" x14ac:dyDescent="0.2">
      <c r="A23" s="1" t="s">
        <v>848</v>
      </c>
      <c r="B23" s="2">
        <v>100527</v>
      </c>
      <c r="C23" s="2" t="s">
        <v>869</v>
      </c>
      <c r="D23" s="3">
        <v>443302</v>
      </c>
      <c r="E23" s="3">
        <v>78021302</v>
      </c>
      <c r="F23" s="5"/>
      <c r="G23" s="5"/>
      <c r="H23" s="3">
        <f t="shared" si="0"/>
        <v>0</v>
      </c>
      <c r="I23" s="3">
        <f t="shared" si="1"/>
        <v>0</v>
      </c>
    </row>
    <row r="24" spans="1:9" x14ac:dyDescent="0.2">
      <c r="H24" s="9">
        <f t="shared" ref="H24:I24" si="2">SUM(H3:H23)</f>
        <v>0</v>
      </c>
      <c r="I24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E21FB-2E83-4B45-AC71-6601DC887336}">
  <dimension ref="A1:K15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>
        <v>1616</v>
      </c>
      <c r="B3" s="2">
        <v>100305</v>
      </c>
      <c r="C3" s="2" t="s">
        <v>870</v>
      </c>
      <c r="D3" s="3">
        <v>432545</v>
      </c>
      <c r="E3" s="3">
        <v>76128059</v>
      </c>
      <c r="F3" s="5"/>
      <c r="G3" s="5"/>
      <c r="H3" s="3">
        <f t="shared" ref="H3:H14" si="0">F3*D3</f>
        <v>0</v>
      </c>
      <c r="I3" s="3">
        <f t="shared" ref="I3:I14" si="1">(G3*E3)/100</f>
        <v>0</v>
      </c>
    </row>
    <row r="4" spans="1:11" x14ac:dyDescent="0.2">
      <c r="A4" s="1">
        <v>1616</v>
      </c>
      <c r="B4" s="2">
        <v>100921</v>
      </c>
      <c r="C4" s="2" t="s">
        <v>871</v>
      </c>
      <c r="D4" s="3">
        <v>462910</v>
      </c>
      <c r="E4" s="3">
        <v>81472253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>
        <v>1616</v>
      </c>
      <c r="B5" s="2">
        <v>100299</v>
      </c>
      <c r="C5" s="2" t="s">
        <v>872</v>
      </c>
      <c r="D5" s="3">
        <v>459655</v>
      </c>
      <c r="E5" s="3">
        <v>80899386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>
        <v>1616</v>
      </c>
      <c r="B6" s="2">
        <v>100822</v>
      </c>
      <c r="C6" s="2" t="s">
        <v>873</v>
      </c>
      <c r="D6" s="3">
        <v>457203</v>
      </c>
      <c r="E6" s="3">
        <v>80467739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506798875</v>
      </c>
    </row>
    <row r="7" spans="1:11" ht="22.5" x14ac:dyDescent="0.6">
      <c r="A7" s="1">
        <v>1616</v>
      </c>
      <c r="B7" s="2">
        <v>100946</v>
      </c>
      <c r="C7" s="2" t="s">
        <v>874</v>
      </c>
      <c r="D7" s="3">
        <v>368266</v>
      </c>
      <c r="E7" s="3">
        <v>64814838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610293141</v>
      </c>
    </row>
    <row r="8" spans="1:11" x14ac:dyDescent="0.2">
      <c r="A8" s="1">
        <v>1616</v>
      </c>
      <c r="B8" s="2">
        <v>100978</v>
      </c>
      <c r="C8" s="2" t="s">
        <v>875</v>
      </c>
      <c r="D8" s="3">
        <v>433871</v>
      </c>
      <c r="E8" s="3">
        <v>76361390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>
        <v>1616</v>
      </c>
      <c r="B9" s="2">
        <v>100984</v>
      </c>
      <c r="C9" s="2" t="s">
        <v>876</v>
      </c>
      <c r="D9" s="3">
        <v>399325</v>
      </c>
      <c r="E9" s="3">
        <v>70281266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>
        <v>1616</v>
      </c>
      <c r="B10" s="2">
        <v>100276</v>
      </c>
      <c r="C10" s="2" t="s">
        <v>877</v>
      </c>
      <c r="D10" s="3">
        <v>540279</v>
      </c>
      <c r="E10" s="3">
        <v>95089165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>
        <v>1616</v>
      </c>
      <c r="B11" s="2">
        <v>101429</v>
      </c>
      <c r="C11" s="2" t="s">
        <v>878</v>
      </c>
      <c r="D11" s="3">
        <v>398841</v>
      </c>
      <c r="E11" s="3">
        <v>70196096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>
        <v>1616</v>
      </c>
      <c r="B12" s="2">
        <v>101547</v>
      </c>
      <c r="C12" s="2" t="s">
        <v>879</v>
      </c>
      <c r="D12" s="3">
        <v>377898</v>
      </c>
      <c r="E12" s="3">
        <v>66510158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>
        <v>1616</v>
      </c>
      <c r="B13" s="2">
        <v>100878</v>
      </c>
      <c r="C13" s="2" t="s">
        <v>880</v>
      </c>
      <c r="D13" s="3">
        <v>530105</v>
      </c>
      <c r="E13" s="3">
        <v>93298621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>
        <v>1616</v>
      </c>
      <c r="B14" s="2">
        <v>101337</v>
      </c>
      <c r="C14" s="2" t="s">
        <v>881</v>
      </c>
      <c r="D14" s="3">
        <v>473827</v>
      </c>
      <c r="E14" s="3">
        <v>83393553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H15" s="9">
        <f t="shared" ref="H15:I15" si="2">SUM(H3:H14)</f>
        <v>0</v>
      </c>
      <c r="I15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E828-9AD2-4753-8469-D89830A0A1D0}">
  <dimension ref="A1:K12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882</v>
      </c>
      <c r="B3" s="2">
        <v>100433</v>
      </c>
      <c r="C3" s="2" t="s">
        <v>883</v>
      </c>
      <c r="D3" s="3">
        <v>498619</v>
      </c>
      <c r="E3" s="3">
        <v>87756985</v>
      </c>
      <c r="F3" s="5"/>
      <c r="G3" s="5"/>
      <c r="H3" s="3">
        <f t="shared" ref="H3:H11" si="0">F3*D3</f>
        <v>0</v>
      </c>
      <c r="I3" s="3">
        <f t="shared" ref="I3:I11" si="1">(G3*E3)/100</f>
        <v>0</v>
      </c>
    </row>
    <row r="4" spans="1:11" x14ac:dyDescent="0.2">
      <c r="A4" s="1" t="s">
        <v>882</v>
      </c>
      <c r="B4" s="2">
        <v>101898</v>
      </c>
      <c r="C4" s="2" t="s">
        <v>884</v>
      </c>
      <c r="D4" s="3">
        <v>255168</v>
      </c>
      <c r="E4" s="3">
        <v>44909700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882</v>
      </c>
      <c r="B5" s="2">
        <v>101265</v>
      </c>
      <c r="C5" s="2" t="s">
        <v>885</v>
      </c>
      <c r="D5" s="3">
        <v>433887</v>
      </c>
      <c r="E5" s="3">
        <v>76364235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882</v>
      </c>
      <c r="B6" s="2">
        <v>100399</v>
      </c>
      <c r="C6" s="2" t="s">
        <v>886</v>
      </c>
      <c r="D6" s="3">
        <v>517643</v>
      </c>
      <c r="E6" s="3">
        <v>91105240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358689100</v>
      </c>
    </row>
    <row r="7" spans="1:11" ht="22.5" x14ac:dyDescent="0.6">
      <c r="A7" s="1" t="s">
        <v>882</v>
      </c>
      <c r="B7" s="2">
        <v>100811</v>
      </c>
      <c r="C7" s="2" t="s">
        <v>887</v>
      </c>
      <c r="D7" s="3">
        <v>479565</v>
      </c>
      <c r="E7" s="3">
        <v>84403613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410340836</v>
      </c>
    </row>
    <row r="8" spans="1:11" x14ac:dyDescent="0.2">
      <c r="A8" s="1" t="s">
        <v>882</v>
      </c>
      <c r="B8" s="2">
        <v>101358</v>
      </c>
      <c r="C8" s="2" t="s">
        <v>888</v>
      </c>
      <c r="D8" s="3">
        <v>423753</v>
      </c>
      <c r="E8" s="3">
        <v>74580553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882</v>
      </c>
      <c r="B9" s="2">
        <v>101420</v>
      </c>
      <c r="C9" s="2" t="s">
        <v>889</v>
      </c>
      <c r="D9" s="3">
        <v>380586</v>
      </c>
      <c r="E9" s="3">
        <v>66983161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 t="s">
        <v>882</v>
      </c>
      <c r="B10" s="2">
        <v>101923</v>
      </c>
      <c r="C10" s="2" t="s">
        <v>890</v>
      </c>
      <c r="D10" s="3">
        <v>226359</v>
      </c>
      <c r="E10" s="3">
        <v>39839250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 t="s">
        <v>882</v>
      </c>
      <c r="B11" s="2">
        <v>101073</v>
      </c>
      <c r="C11" s="2" t="s">
        <v>891</v>
      </c>
      <c r="D11" s="3">
        <v>371311</v>
      </c>
      <c r="E11" s="3">
        <v>65350857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H12" s="9">
        <f t="shared" ref="H12:I12" si="2">SUM(H3:H11)</f>
        <v>0</v>
      </c>
      <c r="I12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BFEE-EDB3-4B1D-82CB-9FF2C750E762}">
  <dimension ref="A1:K26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>
        <v>1603</v>
      </c>
      <c r="B3" s="2">
        <v>101930</v>
      </c>
      <c r="C3" s="2" t="s">
        <v>892</v>
      </c>
      <c r="D3" s="3">
        <v>255168</v>
      </c>
      <c r="E3" s="3">
        <v>44909700</v>
      </c>
      <c r="F3" s="5"/>
      <c r="G3" s="5"/>
      <c r="H3" s="3">
        <f t="shared" ref="H3:H26" si="0">F3*D3</f>
        <v>0</v>
      </c>
      <c r="I3" s="3">
        <f t="shared" ref="I3:I26" si="1">(G3*E3)/100</f>
        <v>0</v>
      </c>
    </row>
    <row r="4" spans="1:11" x14ac:dyDescent="0.2">
      <c r="A4" s="1">
        <v>1603</v>
      </c>
      <c r="B4" s="2">
        <v>100918</v>
      </c>
      <c r="C4" s="2" t="s">
        <v>893</v>
      </c>
      <c r="D4" s="3">
        <v>334710</v>
      </c>
      <c r="E4" s="3">
        <v>58908971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>
        <v>1603</v>
      </c>
      <c r="B5" s="2">
        <v>101205</v>
      </c>
      <c r="C5" s="2" t="s">
        <v>894</v>
      </c>
      <c r="D5" s="3">
        <v>442181</v>
      </c>
      <c r="E5" s="3">
        <v>77823896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>
        <v>1603</v>
      </c>
      <c r="B6" s="2">
        <v>100820</v>
      </c>
      <c r="C6" s="2" t="s">
        <v>895</v>
      </c>
      <c r="D6" s="3">
        <v>454416</v>
      </c>
      <c r="E6" s="3">
        <v>79977368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944386830</v>
      </c>
    </row>
    <row r="7" spans="1:11" ht="22.5" x14ac:dyDescent="0.6">
      <c r="A7" s="1">
        <v>1603</v>
      </c>
      <c r="B7" s="2">
        <v>100516</v>
      </c>
      <c r="C7" s="2" t="s">
        <v>896</v>
      </c>
      <c r="D7" s="3">
        <v>513807</v>
      </c>
      <c r="E7" s="3">
        <v>90430195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1131628469</v>
      </c>
    </row>
    <row r="8" spans="1:11" x14ac:dyDescent="0.2">
      <c r="A8" s="1">
        <v>1603</v>
      </c>
      <c r="B8" s="2">
        <v>101382</v>
      </c>
      <c r="C8" s="2" t="s">
        <v>897</v>
      </c>
      <c r="D8" s="3">
        <v>427433</v>
      </c>
      <c r="E8" s="3">
        <v>75228356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>
        <v>1603</v>
      </c>
      <c r="B9" s="2">
        <v>100510</v>
      </c>
      <c r="C9" s="2" t="s">
        <v>898</v>
      </c>
      <c r="D9" s="3">
        <v>459783</v>
      </c>
      <c r="E9" s="3">
        <v>80921822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>
        <v>1603</v>
      </c>
      <c r="B10" s="2">
        <v>101918</v>
      </c>
      <c r="C10" s="2" t="s">
        <v>899</v>
      </c>
      <c r="D10" s="3">
        <v>226359</v>
      </c>
      <c r="E10" s="3">
        <v>39839250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>
        <v>1603</v>
      </c>
      <c r="B11" s="2">
        <v>100398</v>
      </c>
      <c r="C11" s="2" t="s">
        <v>900</v>
      </c>
      <c r="D11" s="3">
        <v>552865</v>
      </c>
      <c r="E11" s="3">
        <v>97304350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>
        <v>1603</v>
      </c>
      <c r="B12" s="2">
        <v>100705</v>
      </c>
      <c r="C12" s="2" t="s">
        <v>901</v>
      </c>
      <c r="D12" s="3">
        <v>485757</v>
      </c>
      <c r="E12" s="3">
        <v>85493294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>
        <v>1603</v>
      </c>
      <c r="B13" s="2">
        <v>101546</v>
      </c>
      <c r="C13" s="2" t="s">
        <v>902</v>
      </c>
      <c r="D13" s="3">
        <v>407973</v>
      </c>
      <c r="E13" s="3">
        <v>71803256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>
        <v>1603</v>
      </c>
      <c r="B14" s="2">
        <v>101431</v>
      </c>
      <c r="C14" s="2" t="s">
        <v>903</v>
      </c>
      <c r="D14" s="3">
        <v>439575</v>
      </c>
      <c r="E14" s="3">
        <v>77365249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>
        <v>1603</v>
      </c>
      <c r="B15" s="2">
        <v>101379</v>
      </c>
      <c r="C15" s="2" t="s">
        <v>904</v>
      </c>
      <c r="D15" s="3">
        <v>443031</v>
      </c>
      <c r="E15" s="3">
        <v>77973464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>
        <v>1603</v>
      </c>
      <c r="B16" s="2">
        <v>101489</v>
      </c>
      <c r="C16" s="2" t="s">
        <v>905</v>
      </c>
      <c r="D16" s="3">
        <v>374852</v>
      </c>
      <c r="E16" s="3">
        <v>65973972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>
        <v>1603</v>
      </c>
      <c r="B17" s="2">
        <v>101949</v>
      </c>
      <c r="C17" s="2" t="s">
        <v>906</v>
      </c>
      <c r="D17" s="3">
        <v>226359</v>
      </c>
      <c r="E17" s="3">
        <v>39839250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>
        <v>1603</v>
      </c>
      <c r="B18" s="2">
        <v>101185</v>
      </c>
      <c r="C18" s="2" t="s">
        <v>907</v>
      </c>
      <c r="D18" s="3">
        <v>443621</v>
      </c>
      <c r="E18" s="3">
        <v>78077299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>
        <v>1603</v>
      </c>
      <c r="B19" s="2">
        <v>100717</v>
      </c>
      <c r="C19" s="2" t="s">
        <v>908</v>
      </c>
      <c r="D19" s="3">
        <v>521294</v>
      </c>
      <c r="E19" s="3">
        <v>91747818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>
        <v>1603</v>
      </c>
      <c r="B20" s="2">
        <v>101907</v>
      </c>
      <c r="C20" s="2" t="s">
        <v>909</v>
      </c>
      <c r="D20" s="3">
        <v>255168</v>
      </c>
      <c r="E20" s="3">
        <v>44909700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A21" s="1">
        <v>1603</v>
      </c>
      <c r="B21" s="2">
        <v>100428</v>
      </c>
      <c r="C21" s="2" t="s">
        <v>910</v>
      </c>
      <c r="D21" s="3">
        <v>535930</v>
      </c>
      <c r="E21" s="3">
        <v>94323816</v>
      </c>
      <c r="F21" s="5"/>
      <c r="G21" s="5"/>
      <c r="H21" s="3">
        <f t="shared" si="0"/>
        <v>0</v>
      </c>
      <c r="I21" s="3">
        <f t="shared" si="1"/>
        <v>0</v>
      </c>
    </row>
    <row r="22" spans="1:9" x14ac:dyDescent="0.2">
      <c r="A22" s="1">
        <v>1603</v>
      </c>
      <c r="B22" s="2">
        <v>100322</v>
      </c>
      <c r="C22" s="2" t="s">
        <v>911</v>
      </c>
      <c r="D22" s="3">
        <v>472531</v>
      </c>
      <c r="E22" s="3">
        <v>83165598</v>
      </c>
      <c r="F22" s="5"/>
      <c r="G22" s="5"/>
      <c r="H22" s="3">
        <f t="shared" si="0"/>
        <v>0</v>
      </c>
      <c r="I22" s="3">
        <f t="shared" si="1"/>
        <v>0</v>
      </c>
    </row>
    <row r="23" spans="1:9" x14ac:dyDescent="0.2">
      <c r="A23" s="1">
        <v>1603</v>
      </c>
      <c r="B23" s="2">
        <v>101574</v>
      </c>
      <c r="C23" s="2" t="s">
        <v>912</v>
      </c>
      <c r="D23" s="3">
        <v>456237</v>
      </c>
      <c r="E23" s="3">
        <v>71661840</v>
      </c>
      <c r="F23" s="5"/>
      <c r="G23" s="5"/>
      <c r="H23" s="3">
        <f t="shared" si="0"/>
        <v>0</v>
      </c>
      <c r="I23" s="3">
        <f t="shared" si="1"/>
        <v>0</v>
      </c>
    </row>
    <row r="24" spans="1:9" x14ac:dyDescent="0.2">
      <c r="A24" s="1">
        <v>1603</v>
      </c>
      <c r="B24" s="2">
        <v>101538</v>
      </c>
      <c r="C24" s="2" t="s">
        <v>913</v>
      </c>
      <c r="D24" s="3">
        <v>408410</v>
      </c>
      <c r="E24" s="3">
        <v>71880317</v>
      </c>
      <c r="F24" s="5"/>
      <c r="G24" s="5"/>
      <c r="H24" s="3">
        <f t="shared" si="0"/>
        <v>0</v>
      </c>
      <c r="I24" s="3">
        <f t="shared" si="1"/>
        <v>0</v>
      </c>
    </row>
    <row r="25" spans="1:9" x14ac:dyDescent="0.2">
      <c r="A25" s="1">
        <v>1603</v>
      </c>
      <c r="B25" s="2">
        <v>100886</v>
      </c>
      <c r="C25" s="2" t="s">
        <v>914</v>
      </c>
      <c r="D25" s="3">
        <v>461693</v>
      </c>
      <c r="E25" s="3">
        <v>81258071</v>
      </c>
      <c r="F25" s="5"/>
      <c r="G25" s="5"/>
      <c r="H25" s="3">
        <f t="shared" si="0"/>
        <v>0</v>
      </c>
      <c r="I25" s="3">
        <f t="shared" si="1"/>
        <v>0</v>
      </c>
    </row>
    <row r="26" spans="1:9" x14ac:dyDescent="0.2">
      <c r="A26" s="1">
        <v>1603</v>
      </c>
      <c r="B26" s="2">
        <v>101750</v>
      </c>
      <c r="C26" s="2" t="s">
        <v>915</v>
      </c>
      <c r="D26" s="3">
        <v>341761</v>
      </c>
      <c r="E26" s="3">
        <v>60150024</v>
      </c>
      <c r="F26" s="5"/>
      <c r="G26" s="5"/>
      <c r="H26" s="3">
        <f t="shared" si="0"/>
        <v>0</v>
      </c>
      <c r="I26" s="3">
        <f t="shared" si="1"/>
        <v>0</v>
      </c>
    </row>
  </sheetData>
  <mergeCells count="1">
    <mergeCell ref="A1:I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01FA4-B511-4F32-9DF5-CD8882A850F7}">
  <dimension ref="A1:K50"/>
  <sheetViews>
    <sheetView rightToLeft="1" topLeftCell="A19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916</v>
      </c>
      <c r="B3" s="2">
        <v>101162</v>
      </c>
      <c r="C3" s="2" t="s">
        <v>917</v>
      </c>
      <c r="D3" s="3">
        <v>432868</v>
      </c>
      <c r="E3" s="3">
        <v>76184809</v>
      </c>
      <c r="F3" s="5"/>
      <c r="G3" s="5"/>
      <c r="H3" s="3">
        <f t="shared" ref="H3:H49" si="0">F3*D3</f>
        <v>0</v>
      </c>
      <c r="I3" s="3">
        <f t="shared" ref="I3:I49" si="1">(G3*E3)/100</f>
        <v>0</v>
      </c>
    </row>
    <row r="4" spans="1:11" x14ac:dyDescent="0.2">
      <c r="A4" s="1" t="s">
        <v>916</v>
      </c>
      <c r="B4" s="2">
        <v>100916</v>
      </c>
      <c r="C4" s="2" t="s">
        <v>918</v>
      </c>
      <c r="D4" s="3">
        <v>456237</v>
      </c>
      <c r="E4" s="3">
        <v>71661840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916</v>
      </c>
      <c r="B5" s="2">
        <v>101506</v>
      </c>
      <c r="C5" s="2" t="s">
        <v>919</v>
      </c>
      <c r="D5" s="3">
        <v>463648</v>
      </c>
      <c r="E5" s="3">
        <v>81602106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916</v>
      </c>
      <c r="B6" s="2">
        <v>100359</v>
      </c>
      <c r="C6" s="2" t="s">
        <v>920</v>
      </c>
      <c r="D6" s="3">
        <v>512081</v>
      </c>
      <c r="E6" s="3">
        <v>90126364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1864198110</v>
      </c>
    </row>
    <row r="7" spans="1:11" ht="22.5" x14ac:dyDescent="0.6">
      <c r="A7" s="1" t="s">
        <v>916</v>
      </c>
      <c r="B7" s="2">
        <v>101128</v>
      </c>
      <c r="C7" s="2" t="s">
        <v>921</v>
      </c>
      <c r="D7" s="3">
        <v>419246</v>
      </c>
      <c r="E7" s="3">
        <v>73787438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2164934684</v>
      </c>
    </row>
    <row r="8" spans="1:11" x14ac:dyDescent="0.2">
      <c r="A8" s="1" t="s">
        <v>916</v>
      </c>
      <c r="B8" s="2">
        <v>100702</v>
      </c>
      <c r="C8" s="2" t="s">
        <v>922</v>
      </c>
      <c r="D8" s="3">
        <v>448699</v>
      </c>
      <c r="E8" s="3">
        <v>78971060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916</v>
      </c>
      <c r="B9" s="2">
        <v>100772</v>
      </c>
      <c r="C9" s="2" t="s">
        <v>923</v>
      </c>
      <c r="D9" s="3">
        <v>444108</v>
      </c>
      <c r="E9" s="3">
        <v>78163062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 t="s">
        <v>916</v>
      </c>
      <c r="B10" s="2">
        <v>101886</v>
      </c>
      <c r="C10" s="2" t="s">
        <v>924</v>
      </c>
      <c r="D10" s="3">
        <v>226359</v>
      </c>
      <c r="E10" s="3">
        <v>39839250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 t="s">
        <v>916</v>
      </c>
      <c r="B11" s="2">
        <v>100605</v>
      </c>
      <c r="C11" s="2" t="s">
        <v>925</v>
      </c>
      <c r="D11" s="3">
        <v>374140</v>
      </c>
      <c r="E11" s="3">
        <v>65848791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 t="s">
        <v>916</v>
      </c>
      <c r="B12" s="2">
        <v>100881</v>
      </c>
      <c r="C12" s="2" t="s">
        <v>926</v>
      </c>
      <c r="D12" s="3">
        <v>479110</v>
      </c>
      <c r="E12" s="3">
        <v>84323494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 t="s">
        <v>916</v>
      </c>
      <c r="B13" s="2">
        <v>100932</v>
      </c>
      <c r="C13" s="2" t="s">
        <v>927</v>
      </c>
      <c r="D13" s="3">
        <v>456237</v>
      </c>
      <c r="E13" s="3">
        <v>71661840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 t="s">
        <v>916</v>
      </c>
      <c r="B14" s="2">
        <v>101535</v>
      </c>
      <c r="C14" s="2" t="s">
        <v>928</v>
      </c>
      <c r="D14" s="3">
        <v>389062</v>
      </c>
      <c r="E14" s="3">
        <v>68475047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 t="s">
        <v>916</v>
      </c>
      <c r="B15" s="2">
        <v>101884</v>
      </c>
      <c r="C15" s="2" t="s">
        <v>929</v>
      </c>
      <c r="D15" s="3">
        <v>255168</v>
      </c>
      <c r="E15" s="3">
        <v>44909700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 t="s">
        <v>916</v>
      </c>
      <c r="B16" s="2">
        <v>100314</v>
      </c>
      <c r="C16" s="2" t="s">
        <v>930</v>
      </c>
      <c r="D16" s="3">
        <v>493905</v>
      </c>
      <c r="E16" s="3">
        <v>86927366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 t="s">
        <v>916</v>
      </c>
      <c r="B17" s="2">
        <v>101521</v>
      </c>
      <c r="C17" s="2" t="s">
        <v>931</v>
      </c>
      <c r="D17" s="3">
        <v>392619</v>
      </c>
      <c r="E17" s="3">
        <v>69101036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 t="s">
        <v>916</v>
      </c>
      <c r="B18" s="2">
        <v>100315</v>
      </c>
      <c r="C18" s="2" t="s">
        <v>932</v>
      </c>
      <c r="D18" s="3">
        <v>559039</v>
      </c>
      <c r="E18" s="3">
        <v>98390875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 t="s">
        <v>916</v>
      </c>
      <c r="B19" s="2">
        <v>100671</v>
      </c>
      <c r="C19" s="2" t="s">
        <v>933</v>
      </c>
      <c r="D19" s="3">
        <v>481627</v>
      </c>
      <c r="E19" s="3">
        <v>84766482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 t="s">
        <v>916</v>
      </c>
      <c r="B20" s="2">
        <v>100937</v>
      </c>
      <c r="C20" s="2" t="s">
        <v>934</v>
      </c>
      <c r="D20" s="3">
        <v>321183</v>
      </c>
      <c r="E20" s="3">
        <v>56528274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A21" s="1" t="s">
        <v>916</v>
      </c>
      <c r="B21" s="2">
        <v>242306</v>
      </c>
      <c r="C21" s="2" t="s">
        <v>935</v>
      </c>
      <c r="D21" s="3">
        <v>317920</v>
      </c>
      <c r="E21" s="3">
        <v>55953964</v>
      </c>
      <c r="F21" s="5"/>
      <c r="G21" s="5"/>
      <c r="H21" s="3">
        <f t="shared" si="0"/>
        <v>0</v>
      </c>
      <c r="I21" s="3">
        <f t="shared" si="1"/>
        <v>0</v>
      </c>
    </row>
    <row r="22" spans="1:9" x14ac:dyDescent="0.2">
      <c r="A22" s="1" t="s">
        <v>916</v>
      </c>
      <c r="B22" s="2">
        <v>101738</v>
      </c>
      <c r="C22" s="2" t="s">
        <v>936</v>
      </c>
      <c r="D22" s="3">
        <v>346761</v>
      </c>
      <c r="E22" s="3">
        <v>61029996</v>
      </c>
      <c r="F22" s="5"/>
      <c r="G22" s="5"/>
      <c r="H22" s="3">
        <f t="shared" si="0"/>
        <v>0</v>
      </c>
      <c r="I22" s="3">
        <f t="shared" si="1"/>
        <v>0</v>
      </c>
    </row>
    <row r="23" spans="1:9" x14ac:dyDescent="0.2">
      <c r="A23" s="1" t="s">
        <v>916</v>
      </c>
      <c r="B23" s="2">
        <v>101365</v>
      </c>
      <c r="C23" s="2" t="s">
        <v>937</v>
      </c>
      <c r="D23" s="3">
        <v>415322</v>
      </c>
      <c r="E23" s="3">
        <v>73096675</v>
      </c>
      <c r="F23" s="5"/>
      <c r="G23" s="5"/>
      <c r="H23" s="3">
        <f t="shared" si="0"/>
        <v>0</v>
      </c>
      <c r="I23" s="3">
        <f t="shared" si="1"/>
        <v>0</v>
      </c>
    </row>
    <row r="24" spans="1:9" x14ac:dyDescent="0.2">
      <c r="A24" s="1" t="s">
        <v>916</v>
      </c>
      <c r="B24" s="2">
        <v>100959</v>
      </c>
      <c r="C24" s="2" t="s">
        <v>938</v>
      </c>
      <c r="D24" s="3">
        <v>320415</v>
      </c>
      <c r="E24" s="3">
        <v>56393062</v>
      </c>
      <c r="F24" s="5"/>
      <c r="G24" s="5"/>
      <c r="H24" s="3">
        <f t="shared" si="0"/>
        <v>0</v>
      </c>
      <c r="I24" s="3">
        <f t="shared" si="1"/>
        <v>0</v>
      </c>
    </row>
    <row r="25" spans="1:9" x14ac:dyDescent="0.2">
      <c r="A25" s="1" t="s">
        <v>916</v>
      </c>
      <c r="B25" s="2">
        <v>100469</v>
      </c>
      <c r="C25" s="2" t="s">
        <v>939</v>
      </c>
      <c r="D25" s="3">
        <v>397142</v>
      </c>
      <c r="E25" s="3">
        <v>69897022</v>
      </c>
      <c r="F25" s="5"/>
      <c r="G25" s="5"/>
      <c r="H25" s="3">
        <f t="shared" si="0"/>
        <v>0</v>
      </c>
      <c r="I25" s="3">
        <f t="shared" si="1"/>
        <v>0</v>
      </c>
    </row>
    <row r="26" spans="1:9" x14ac:dyDescent="0.2">
      <c r="A26" s="1" t="s">
        <v>916</v>
      </c>
      <c r="B26" s="2">
        <v>100319</v>
      </c>
      <c r="C26" s="2" t="s">
        <v>940</v>
      </c>
      <c r="D26" s="3">
        <v>559039</v>
      </c>
      <c r="E26" s="3">
        <v>98390875</v>
      </c>
      <c r="F26" s="5"/>
      <c r="G26" s="5"/>
      <c r="H26" s="3">
        <f t="shared" si="0"/>
        <v>0</v>
      </c>
      <c r="I26" s="3">
        <f t="shared" si="1"/>
        <v>0</v>
      </c>
    </row>
    <row r="27" spans="1:9" x14ac:dyDescent="0.2">
      <c r="A27" s="1" t="s">
        <v>916</v>
      </c>
      <c r="B27" s="2">
        <v>100449</v>
      </c>
      <c r="C27" s="2" t="s">
        <v>941</v>
      </c>
      <c r="D27" s="3">
        <v>453434</v>
      </c>
      <c r="E27" s="3">
        <v>79804542</v>
      </c>
      <c r="F27" s="5"/>
      <c r="G27" s="5"/>
      <c r="H27" s="3">
        <f t="shared" si="0"/>
        <v>0</v>
      </c>
      <c r="I27" s="3">
        <f t="shared" si="1"/>
        <v>0</v>
      </c>
    </row>
    <row r="28" spans="1:9" x14ac:dyDescent="0.2">
      <c r="A28" s="1" t="s">
        <v>916</v>
      </c>
      <c r="B28" s="2">
        <v>101090</v>
      </c>
      <c r="C28" s="2" t="s">
        <v>942</v>
      </c>
      <c r="D28" s="3">
        <v>444799</v>
      </c>
      <c r="E28" s="3">
        <v>78284743</v>
      </c>
      <c r="F28" s="5"/>
      <c r="G28" s="5"/>
      <c r="H28" s="3">
        <f t="shared" si="0"/>
        <v>0</v>
      </c>
      <c r="I28" s="3">
        <f t="shared" si="1"/>
        <v>0</v>
      </c>
    </row>
    <row r="29" spans="1:9" x14ac:dyDescent="0.2">
      <c r="A29" s="1" t="s">
        <v>916</v>
      </c>
      <c r="B29" s="2">
        <v>100406</v>
      </c>
      <c r="C29" s="2" t="s">
        <v>943</v>
      </c>
      <c r="D29" s="3">
        <v>498640</v>
      </c>
      <c r="E29" s="3">
        <v>87760750</v>
      </c>
      <c r="F29" s="5"/>
      <c r="G29" s="5"/>
      <c r="H29" s="3">
        <f t="shared" si="0"/>
        <v>0</v>
      </c>
      <c r="I29" s="3">
        <f t="shared" si="1"/>
        <v>0</v>
      </c>
    </row>
    <row r="30" spans="1:9" x14ac:dyDescent="0.2">
      <c r="A30" s="1" t="s">
        <v>916</v>
      </c>
      <c r="B30" s="2">
        <v>101430</v>
      </c>
      <c r="C30" s="2" t="s">
        <v>944</v>
      </c>
      <c r="D30" s="3">
        <v>398776</v>
      </c>
      <c r="E30" s="3">
        <v>70184729</v>
      </c>
      <c r="F30" s="5"/>
      <c r="G30" s="5"/>
      <c r="H30" s="3">
        <f t="shared" si="0"/>
        <v>0</v>
      </c>
      <c r="I30" s="3">
        <f t="shared" si="1"/>
        <v>0</v>
      </c>
    </row>
    <row r="31" spans="1:9" x14ac:dyDescent="0.2">
      <c r="A31" s="1" t="s">
        <v>916</v>
      </c>
      <c r="B31" s="2">
        <v>101141</v>
      </c>
      <c r="C31" s="2" t="s">
        <v>945</v>
      </c>
      <c r="D31" s="3">
        <v>304233</v>
      </c>
      <c r="E31" s="3">
        <v>53545040</v>
      </c>
      <c r="F31" s="5"/>
      <c r="G31" s="5"/>
      <c r="H31" s="3">
        <f t="shared" si="0"/>
        <v>0</v>
      </c>
      <c r="I31" s="3">
        <f t="shared" si="1"/>
        <v>0</v>
      </c>
    </row>
    <row r="32" spans="1:9" x14ac:dyDescent="0.2">
      <c r="A32" s="1" t="s">
        <v>916</v>
      </c>
      <c r="B32" s="2">
        <v>101194</v>
      </c>
      <c r="C32" s="2" t="s">
        <v>946</v>
      </c>
      <c r="D32" s="3">
        <v>438160</v>
      </c>
      <c r="E32" s="3">
        <v>77116161</v>
      </c>
      <c r="F32" s="5"/>
      <c r="G32" s="5"/>
      <c r="H32" s="3">
        <f t="shared" si="0"/>
        <v>0</v>
      </c>
      <c r="I32" s="3">
        <f t="shared" si="1"/>
        <v>0</v>
      </c>
    </row>
    <row r="33" spans="1:9" x14ac:dyDescent="0.2">
      <c r="A33" s="1" t="s">
        <v>916</v>
      </c>
      <c r="B33" s="2">
        <v>100423</v>
      </c>
      <c r="C33" s="2" t="s">
        <v>947</v>
      </c>
      <c r="D33" s="3">
        <v>515825</v>
      </c>
      <c r="E33" s="3">
        <v>90785200</v>
      </c>
      <c r="F33" s="5"/>
      <c r="G33" s="5"/>
      <c r="H33" s="3">
        <f t="shared" si="0"/>
        <v>0</v>
      </c>
      <c r="I33" s="3">
        <f t="shared" si="1"/>
        <v>0</v>
      </c>
    </row>
    <row r="34" spans="1:9" x14ac:dyDescent="0.2">
      <c r="A34" s="1" t="s">
        <v>916</v>
      </c>
      <c r="B34" s="2">
        <v>100391</v>
      </c>
      <c r="C34" s="2" t="s">
        <v>948</v>
      </c>
      <c r="D34" s="3">
        <v>462440</v>
      </c>
      <c r="E34" s="3">
        <v>81389518</v>
      </c>
      <c r="F34" s="5"/>
      <c r="G34" s="5"/>
      <c r="H34" s="3">
        <f t="shared" si="0"/>
        <v>0</v>
      </c>
      <c r="I34" s="3">
        <f t="shared" si="1"/>
        <v>0</v>
      </c>
    </row>
    <row r="35" spans="1:9" x14ac:dyDescent="0.2">
      <c r="A35" s="1" t="s">
        <v>916</v>
      </c>
      <c r="B35" s="2">
        <v>101017</v>
      </c>
      <c r="C35" s="2" t="s">
        <v>949</v>
      </c>
      <c r="D35" s="3">
        <v>472964</v>
      </c>
      <c r="E35" s="3">
        <v>83241772</v>
      </c>
      <c r="F35" s="5"/>
      <c r="G35" s="5"/>
      <c r="H35" s="3">
        <f t="shared" si="0"/>
        <v>0</v>
      </c>
      <c r="I35" s="3">
        <f t="shared" si="1"/>
        <v>0</v>
      </c>
    </row>
    <row r="36" spans="1:9" x14ac:dyDescent="0.2">
      <c r="A36" s="1" t="s">
        <v>916</v>
      </c>
      <c r="B36" s="2">
        <v>101366</v>
      </c>
      <c r="C36" s="2" t="s">
        <v>950</v>
      </c>
      <c r="D36" s="3">
        <v>420200</v>
      </c>
      <c r="E36" s="3">
        <v>73955281</v>
      </c>
      <c r="F36" s="5"/>
      <c r="G36" s="5"/>
      <c r="H36" s="3">
        <f t="shared" si="0"/>
        <v>0</v>
      </c>
      <c r="I36" s="3">
        <f t="shared" si="1"/>
        <v>0</v>
      </c>
    </row>
    <row r="37" spans="1:9" x14ac:dyDescent="0.2">
      <c r="A37" s="1" t="s">
        <v>916</v>
      </c>
      <c r="B37" s="2">
        <v>100407</v>
      </c>
      <c r="C37" s="2" t="s">
        <v>951</v>
      </c>
      <c r="D37" s="3">
        <v>527837</v>
      </c>
      <c r="E37" s="3">
        <v>92899369</v>
      </c>
      <c r="F37" s="5"/>
      <c r="G37" s="5"/>
      <c r="H37" s="3">
        <f t="shared" si="0"/>
        <v>0</v>
      </c>
      <c r="I37" s="3">
        <f t="shared" si="1"/>
        <v>0</v>
      </c>
    </row>
    <row r="38" spans="1:9" x14ac:dyDescent="0.2">
      <c r="A38" s="1" t="s">
        <v>916</v>
      </c>
      <c r="B38" s="2">
        <v>101961</v>
      </c>
      <c r="C38" s="2" t="s">
        <v>952</v>
      </c>
      <c r="D38" s="3">
        <v>226359</v>
      </c>
      <c r="E38" s="3">
        <v>39839250</v>
      </c>
      <c r="F38" s="5"/>
      <c r="G38" s="5"/>
      <c r="H38" s="3">
        <f t="shared" si="0"/>
        <v>0</v>
      </c>
      <c r="I38" s="3">
        <f t="shared" si="1"/>
        <v>0</v>
      </c>
    </row>
    <row r="39" spans="1:9" x14ac:dyDescent="0.2">
      <c r="A39" s="1" t="s">
        <v>916</v>
      </c>
      <c r="B39" s="2">
        <v>101367</v>
      </c>
      <c r="C39" s="2" t="s">
        <v>953</v>
      </c>
      <c r="D39" s="3">
        <v>381337</v>
      </c>
      <c r="E39" s="3">
        <v>67115325</v>
      </c>
      <c r="F39" s="5"/>
      <c r="G39" s="5"/>
      <c r="H39" s="3">
        <f t="shared" si="0"/>
        <v>0</v>
      </c>
      <c r="I39" s="3">
        <f t="shared" si="1"/>
        <v>0</v>
      </c>
    </row>
    <row r="40" spans="1:9" x14ac:dyDescent="0.2">
      <c r="A40" s="1" t="s">
        <v>916</v>
      </c>
      <c r="B40" s="2">
        <v>100713</v>
      </c>
      <c r="C40" s="2" t="s">
        <v>954</v>
      </c>
      <c r="D40" s="3">
        <v>477791</v>
      </c>
      <c r="E40" s="3">
        <v>84091234</v>
      </c>
      <c r="F40" s="5"/>
      <c r="G40" s="5"/>
      <c r="H40" s="3">
        <f t="shared" si="0"/>
        <v>0</v>
      </c>
      <c r="I40" s="3">
        <f t="shared" si="1"/>
        <v>0</v>
      </c>
    </row>
    <row r="41" spans="1:9" x14ac:dyDescent="0.2">
      <c r="A41" s="1" t="s">
        <v>916</v>
      </c>
      <c r="B41" s="2">
        <v>101528</v>
      </c>
      <c r="C41" s="2" t="s">
        <v>955</v>
      </c>
      <c r="D41" s="3">
        <v>397491</v>
      </c>
      <c r="E41" s="3">
        <v>69958578</v>
      </c>
      <c r="F41" s="5"/>
      <c r="G41" s="5"/>
      <c r="H41" s="3">
        <f t="shared" si="0"/>
        <v>0</v>
      </c>
      <c r="I41" s="3">
        <f t="shared" si="1"/>
        <v>0</v>
      </c>
    </row>
    <row r="42" spans="1:9" x14ac:dyDescent="0.2">
      <c r="A42" s="1" t="s">
        <v>916</v>
      </c>
      <c r="B42" s="2">
        <v>170366</v>
      </c>
      <c r="C42" s="2" t="s">
        <v>956</v>
      </c>
      <c r="D42" s="3">
        <v>403516</v>
      </c>
      <c r="E42" s="3">
        <v>71018974</v>
      </c>
      <c r="F42" s="5"/>
      <c r="G42" s="5"/>
      <c r="H42" s="3">
        <f t="shared" si="0"/>
        <v>0</v>
      </c>
      <c r="I42" s="3">
        <f t="shared" si="1"/>
        <v>0</v>
      </c>
    </row>
    <row r="43" spans="1:9" x14ac:dyDescent="0.2">
      <c r="A43" s="1" t="s">
        <v>916</v>
      </c>
      <c r="B43" s="2">
        <v>100340</v>
      </c>
      <c r="C43" s="2" t="s">
        <v>957</v>
      </c>
      <c r="D43" s="3">
        <v>416762</v>
      </c>
      <c r="E43" s="3">
        <v>73350140</v>
      </c>
      <c r="F43" s="5"/>
      <c r="G43" s="5"/>
      <c r="H43" s="3">
        <f t="shared" si="0"/>
        <v>0</v>
      </c>
      <c r="I43" s="3">
        <f t="shared" si="1"/>
        <v>0</v>
      </c>
    </row>
    <row r="44" spans="1:9" x14ac:dyDescent="0.2">
      <c r="A44" s="1" t="s">
        <v>916</v>
      </c>
      <c r="B44" s="2">
        <v>100546</v>
      </c>
      <c r="C44" s="2" t="s">
        <v>958</v>
      </c>
      <c r="D44" s="3">
        <v>456962</v>
      </c>
      <c r="E44" s="3">
        <v>80425486</v>
      </c>
      <c r="F44" s="5"/>
      <c r="G44" s="5"/>
      <c r="H44" s="3">
        <f t="shared" si="0"/>
        <v>0</v>
      </c>
      <c r="I44" s="3">
        <f t="shared" si="1"/>
        <v>0</v>
      </c>
    </row>
    <row r="45" spans="1:9" x14ac:dyDescent="0.2">
      <c r="A45" s="1" t="s">
        <v>916</v>
      </c>
      <c r="B45" s="2">
        <v>101408</v>
      </c>
      <c r="C45" s="2" t="s">
        <v>959</v>
      </c>
      <c r="D45" s="3">
        <v>391833</v>
      </c>
      <c r="E45" s="3">
        <v>68962609</v>
      </c>
      <c r="F45" s="5"/>
      <c r="G45" s="5"/>
      <c r="H45" s="3">
        <f t="shared" si="0"/>
        <v>0</v>
      </c>
      <c r="I45" s="3">
        <f t="shared" si="1"/>
        <v>0</v>
      </c>
    </row>
    <row r="46" spans="1:9" x14ac:dyDescent="0.2">
      <c r="A46" s="1" t="s">
        <v>916</v>
      </c>
      <c r="B46" s="2">
        <v>101741</v>
      </c>
      <c r="C46" s="2" t="s">
        <v>960</v>
      </c>
      <c r="D46" s="3">
        <v>340210</v>
      </c>
      <c r="E46" s="3">
        <v>59877132</v>
      </c>
      <c r="F46" s="5"/>
      <c r="G46" s="5"/>
      <c r="H46" s="3">
        <f t="shared" si="0"/>
        <v>0</v>
      </c>
      <c r="I46" s="3">
        <f t="shared" si="1"/>
        <v>0</v>
      </c>
    </row>
    <row r="47" spans="1:9" x14ac:dyDescent="0.2">
      <c r="A47" s="1" t="s">
        <v>916</v>
      </c>
      <c r="B47" s="2">
        <v>101737</v>
      </c>
      <c r="C47" s="2" t="s">
        <v>961</v>
      </c>
      <c r="D47" s="3">
        <v>346795</v>
      </c>
      <c r="E47" s="3">
        <v>61036092</v>
      </c>
      <c r="F47" s="5"/>
      <c r="G47" s="5"/>
      <c r="H47" s="3">
        <f t="shared" si="0"/>
        <v>0</v>
      </c>
      <c r="I47" s="3">
        <f t="shared" si="1"/>
        <v>0</v>
      </c>
    </row>
    <row r="48" spans="1:9" x14ac:dyDescent="0.2">
      <c r="A48" s="1" t="s">
        <v>916</v>
      </c>
      <c r="B48" s="2">
        <v>101435</v>
      </c>
      <c r="C48" s="2" t="s">
        <v>962</v>
      </c>
      <c r="D48" s="3">
        <v>350904</v>
      </c>
      <c r="E48" s="3">
        <v>61759211</v>
      </c>
      <c r="F48" s="5"/>
      <c r="G48" s="5"/>
      <c r="H48" s="3">
        <f t="shared" si="0"/>
        <v>0</v>
      </c>
      <c r="I48" s="3">
        <f t="shared" si="1"/>
        <v>0</v>
      </c>
    </row>
    <row r="49" spans="1:9" x14ac:dyDescent="0.2">
      <c r="A49" s="1" t="s">
        <v>916</v>
      </c>
      <c r="B49" s="2">
        <v>100504</v>
      </c>
      <c r="C49" s="2" t="s">
        <v>963</v>
      </c>
      <c r="D49" s="3">
        <v>533935</v>
      </c>
      <c r="E49" s="3">
        <v>93972697</v>
      </c>
      <c r="F49" s="5"/>
      <c r="G49" s="5"/>
      <c r="H49" s="3">
        <f t="shared" si="0"/>
        <v>0</v>
      </c>
      <c r="I49" s="3">
        <f t="shared" si="1"/>
        <v>0</v>
      </c>
    </row>
    <row r="50" spans="1:9" x14ac:dyDescent="0.2">
      <c r="H50" s="9">
        <f t="shared" ref="H50:I50" si="2">SUM(H3:H49)</f>
        <v>0</v>
      </c>
      <c r="I50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3BC5-070B-4479-82D1-31A7F98C8956}">
  <dimension ref="A1:K15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>
        <v>1620</v>
      </c>
      <c r="B3" s="2">
        <v>101086</v>
      </c>
      <c r="C3" s="2" t="s">
        <v>964</v>
      </c>
      <c r="D3" s="3">
        <v>409347</v>
      </c>
      <c r="E3" s="3">
        <v>72045125</v>
      </c>
      <c r="F3" s="5"/>
      <c r="G3" s="5"/>
      <c r="H3" s="3">
        <f t="shared" ref="H3:H14" si="0">F3*D3</f>
        <v>0</v>
      </c>
      <c r="I3" s="3">
        <f t="shared" ref="I3:I14" si="1">(G3*E3)/100</f>
        <v>0</v>
      </c>
    </row>
    <row r="4" spans="1:11" x14ac:dyDescent="0.2">
      <c r="A4" s="1">
        <v>1620</v>
      </c>
      <c r="B4" s="2">
        <v>101470</v>
      </c>
      <c r="C4" s="2" t="s">
        <v>965</v>
      </c>
      <c r="D4" s="3">
        <v>399326</v>
      </c>
      <c r="E4" s="3">
        <v>70281476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>
        <v>1620</v>
      </c>
      <c r="B5" s="2">
        <v>101414</v>
      </c>
      <c r="C5" s="2" t="s">
        <v>966</v>
      </c>
      <c r="D5" s="3">
        <v>402204</v>
      </c>
      <c r="E5" s="3">
        <v>70788043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>
        <v>1620</v>
      </c>
      <c r="B6" s="2">
        <v>101251</v>
      </c>
      <c r="C6" s="2" t="s">
        <v>967</v>
      </c>
      <c r="D6" s="3">
        <v>411804</v>
      </c>
      <c r="E6" s="3">
        <v>72477679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508153290</v>
      </c>
    </row>
    <row r="7" spans="1:11" ht="22.5" x14ac:dyDescent="0.6">
      <c r="A7" s="1">
        <v>1620</v>
      </c>
      <c r="B7" s="2">
        <v>100720</v>
      </c>
      <c r="C7" s="2" t="s">
        <v>968</v>
      </c>
      <c r="D7" s="3">
        <v>456078</v>
      </c>
      <c r="E7" s="3">
        <v>80269822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611924171</v>
      </c>
    </row>
    <row r="8" spans="1:11" x14ac:dyDescent="0.2">
      <c r="A8" s="1">
        <v>1620</v>
      </c>
      <c r="B8" s="2">
        <v>100258</v>
      </c>
      <c r="C8" s="2" t="s">
        <v>969</v>
      </c>
      <c r="D8" s="3">
        <v>552865</v>
      </c>
      <c r="E8" s="3">
        <v>97304350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>
        <v>1620</v>
      </c>
      <c r="B9" s="2">
        <v>100692</v>
      </c>
      <c r="C9" s="2" t="s">
        <v>970</v>
      </c>
      <c r="D9" s="3">
        <v>523067</v>
      </c>
      <c r="E9" s="3">
        <v>92059804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>
        <v>1620</v>
      </c>
      <c r="B10" s="2">
        <v>101254</v>
      </c>
      <c r="C10" s="2" t="s">
        <v>971</v>
      </c>
      <c r="D10" s="3">
        <v>412633</v>
      </c>
      <c r="E10" s="3">
        <v>72623577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>
        <v>1620</v>
      </c>
      <c r="B11" s="2">
        <v>100670</v>
      </c>
      <c r="C11" s="2" t="s">
        <v>972</v>
      </c>
      <c r="D11" s="3">
        <v>524898</v>
      </c>
      <c r="E11" s="3">
        <v>92382103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>
        <v>1620</v>
      </c>
      <c r="B12" s="2">
        <v>101424</v>
      </c>
      <c r="C12" s="2" t="s">
        <v>973</v>
      </c>
      <c r="D12" s="3">
        <v>435791</v>
      </c>
      <c r="E12" s="3">
        <v>76699220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>
        <v>1620</v>
      </c>
      <c r="B13" s="2">
        <v>101555</v>
      </c>
      <c r="C13" s="2" t="s">
        <v>974</v>
      </c>
      <c r="D13" s="3">
        <v>409017</v>
      </c>
      <c r="E13" s="3">
        <v>71986997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>
        <v>1620</v>
      </c>
      <c r="B14" s="2">
        <v>101186</v>
      </c>
      <c r="C14" s="2" t="s">
        <v>975</v>
      </c>
      <c r="D14" s="3">
        <v>411952</v>
      </c>
      <c r="E14" s="3">
        <v>72503605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H15" s="9">
        <f t="shared" ref="H15:I15" si="2">SUM(H3:H14)</f>
        <v>0</v>
      </c>
      <c r="I15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9CAA-63A2-4B5B-8EDB-45600E6432FB}">
  <dimension ref="A1:K18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976</v>
      </c>
      <c r="B3" s="2">
        <v>101330</v>
      </c>
      <c r="C3" s="2" t="s">
        <v>977</v>
      </c>
      <c r="D3" s="3">
        <v>393797</v>
      </c>
      <c r="E3" s="3">
        <v>69308313</v>
      </c>
      <c r="F3" s="5"/>
      <c r="G3" s="5"/>
      <c r="H3" s="3">
        <f t="shared" ref="H3:H17" si="0">F3*D3</f>
        <v>0</v>
      </c>
      <c r="I3" s="3">
        <f t="shared" ref="I3:I17" si="1">(G3*E3)/100</f>
        <v>0</v>
      </c>
    </row>
    <row r="4" spans="1:11" x14ac:dyDescent="0.2">
      <c r="A4" s="1" t="s">
        <v>976</v>
      </c>
      <c r="B4" s="2">
        <v>101151</v>
      </c>
      <c r="C4" s="2" t="s">
        <v>978</v>
      </c>
      <c r="D4" s="3">
        <v>405127</v>
      </c>
      <c r="E4" s="3">
        <v>71302451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976</v>
      </c>
      <c r="B5" s="2">
        <v>100542</v>
      </c>
      <c r="C5" s="2" t="s">
        <v>979</v>
      </c>
      <c r="D5" s="3">
        <v>456161</v>
      </c>
      <c r="E5" s="3">
        <v>80284394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976</v>
      </c>
      <c r="B6" s="2">
        <v>101321</v>
      </c>
      <c r="C6" s="2" t="s">
        <v>980</v>
      </c>
      <c r="D6" s="3">
        <v>413077</v>
      </c>
      <c r="E6" s="3">
        <v>72701666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624455000</v>
      </c>
    </row>
    <row r="7" spans="1:11" ht="22.5" x14ac:dyDescent="0.6">
      <c r="A7" s="1" t="s">
        <v>976</v>
      </c>
      <c r="B7" s="2">
        <v>100935</v>
      </c>
      <c r="C7" s="2" t="s">
        <v>981</v>
      </c>
      <c r="D7" s="3">
        <v>393182</v>
      </c>
      <c r="E7" s="3">
        <v>69200186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708763858</v>
      </c>
    </row>
    <row r="8" spans="1:11" x14ac:dyDescent="0.2">
      <c r="A8" s="1" t="s">
        <v>976</v>
      </c>
      <c r="B8" s="2">
        <v>101393</v>
      </c>
      <c r="C8" s="2" t="s">
        <v>982</v>
      </c>
      <c r="D8" s="3">
        <v>361787</v>
      </c>
      <c r="E8" s="3">
        <v>63674543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976</v>
      </c>
      <c r="B9" s="2">
        <v>100780</v>
      </c>
      <c r="C9" s="2" t="s">
        <v>983</v>
      </c>
      <c r="D9" s="3">
        <v>479417</v>
      </c>
      <c r="E9" s="3">
        <v>84377448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 t="s">
        <v>976</v>
      </c>
      <c r="B10" s="2">
        <v>100681</v>
      </c>
      <c r="C10" s="2" t="s">
        <v>984</v>
      </c>
      <c r="D10" s="3">
        <v>517654</v>
      </c>
      <c r="E10" s="3">
        <v>91107116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 t="s">
        <v>976</v>
      </c>
      <c r="B11" s="2">
        <v>101749</v>
      </c>
      <c r="C11" s="2" t="s">
        <v>985</v>
      </c>
      <c r="D11" s="3">
        <v>306092</v>
      </c>
      <c r="E11" s="3">
        <v>53872324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 t="s">
        <v>976</v>
      </c>
      <c r="B12" s="2">
        <v>101096</v>
      </c>
      <c r="C12" s="2" t="s">
        <v>986</v>
      </c>
      <c r="D12" s="3">
        <v>439713</v>
      </c>
      <c r="E12" s="3">
        <v>77389502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 t="s">
        <v>976</v>
      </c>
      <c r="B13" s="2">
        <v>100313</v>
      </c>
      <c r="C13" s="2" t="s">
        <v>987</v>
      </c>
      <c r="D13" s="3">
        <v>519419</v>
      </c>
      <c r="E13" s="3">
        <v>91417799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 t="s">
        <v>976</v>
      </c>
      <c r="B14" s="2">
        <v>101808</v>
      </c>
      <c r="C14" s="2" t="s">
        <v>988</v>
      </c>
      <c r="D14" s="3">
        <v>275829</v>
      </c>
      <c r="E14" s="3">
        <v>48545937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 t="s">
        <v>976</v>
      </c>
      <c r="B15" s="2">
        <v>100237</v>
      </c>
      <c r="C15" s="2" t="s">
        <v>989</v>
      </c>
      <c r="D15" s="3">
        <v>329187</v>
      </c>
      <c r="E15" s="3">
        <v>57936951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 t="s">
        <v>976</v>
      </c>
      <c r="B16" s="2">
        <v>101072</v>
      </c>
      <c r="C16" s="2" t="s">
        <v>990</v>
      </c>
      <c r="D16" s="3">
        <v>456237</v>
      </c>
      <c r="E16" s="3">
        <v>71661840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 t="s">
        <v>976</v>
      </c>
      <c r="B17" s="2">
        <v>100435</v>
      </c>
      <c r="C17" s="2" t="s">
        <v>991</v>
      </c>
      <c r="D17" s="3">
        <v>497871</v>
      </c>
      <c r="E17" s="3">
        <v>87625466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H18" s="9">
        <f t="shared" ref="H18:I18" si="2">SUM(H3:H17)</f>
        <v>0</v>
      </c>
      <c r="I18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59BE-EAF5-4AD1-9867-7A3EA37CB152}">
  <dimension ref="A1:K29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>
        <v>1602</v>
      </c>
      <c r="B3" s="2">
        <v>101778</v>
      </c>
      <c r="C3" s="2" t="s">
        <v>992</v>
      </c>
      <c r="D3" s="3">
        <v>247266</v>
      </c>
      <c r="E3" s="3">
        <v>43518948</v>
      </c>
      <c r="F3" s="5"/>
      <c r="G3" s="5"/>
      <c r="H3" s="3">
        <f t="shared" ref="H3:H28" si="0">F3*D3</f>
        <v>0</v>
      </c>
      <c r="I3" s="3">
        <f t="shared" ref="I3:I28" si="1">(G3*E3)/100</f>
        <v>0</v>
      </c>
    </row>
    <row r="4" spans="1:11" x14ac:dyDescent="0.2">
      <c r="A4" s="1">
        <v>1602</v>
      </c>
      <c r="B4" s="2">
        <v>101149</v>
      </c>
      <c r="C4" s="2" t="s">
        <v>993</v>
      </c>
      <c r="D4" s="3">
        <v>445729</v>
      </c>
      <c r="E4" s="3">
        <v>78448379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>
        <v>1602</v>
      </c>
      <c r="B5" s="2">
        <v>100874</v>
      </c>
      <c r="C5" s="2" t="s">
        <v>994</v>
      </c>
      <c r="D5" s="3">
        <v>512197</v>
      </c>
      <c r="E5" s="3">
        <v>90146731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>
        <v>1602</v>
      </c>
      <c r="B6" s="2">
        <v>101102</v>
      </c>
      <c r="C6" s="2" t="s">
        <v>995</v>
      </c>
      <c r="D6" s="3">
        <v>445985</v>
      </c>
      <c r="E6" s="3">
        <v>78493454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1008041010</v>
      </c>
    </row>
    <row r="7" spans="1:11" ht="22.5" x14ac:dyDescent="0.6">
      <c r="A7" s="1">
        <v>1602</v>
      </c>
      <c r="B7" s="2">
        <v>101478</v>
      </c>
      <c r="C7" s="2" t="s">
        <v>996</v>
      </c>
      <c r="D7" s="3">
        <v>442025</v>
      </c>
      <c r="E7" s="3">
        <v>77796428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1176544711</v>
      </c>
    </row>
    <row r="8" spans="1:11" x14ac:dyDescent="0.2">
      <c r="A8" s="1">
        <v>1602</v>
      </c>
      <c r="B8" s="2">
        <v>101931</v>
      </c>
      <c r="C8" s="2" t="s">
        <v>997</v>
      </c>
      <c r="D8" s="3">
        <v>226359</v>
      </c>
      <c r="E8" s="3">
        <v>39839250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>
        <v>1602</v>
      </c>
      <c r="B9" s="2">
        <v>101221</v>
      </c>
      <c r="C9" s="2" t="s">
        <v>998</v>
      </c>
      <c r="D9" s="3">
        <v>443418</v>
      </c>
      <c r="E9" s="3">
        <v>78041715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>
        <v>1602</v>
      </c>
      <c r="B10" s="2">
        <v>101493</v>
      </c>
      <c r="C10" s="2" t="s">
        <v>999</v>
      </c>
      <c r="D10" s="3">
        <v>373419</v>
      </c>
      <c r="E10" s="3">
        <v>65721872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>
        <v>1602</v>
      </c>
      <c r="B11" s="2">
        <v>100394</v>
      </c>
      <c r="C11" s="2" t="s">
        <v>1000</v>
      </c>
      <c r="D11" s="3">
        <v>552865</v>
      </c>
      <c r="E11" s="3">
        <v>97304350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>
        <v>1602</v>
      </c>
      <c r="B12" s="2">
        <v>101880</v>
      </c>
      <c r="C12" s="2" t="s">
        <v>1001</v>
      </c>
      <c r="D12" s="3">
        <v>255168</v>
      </c>
      <c r="E12" s="3">
        <v>44909700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>
        <v>1602</v>
      </c>
      <c r="B13" s="2">
        <v>100475</v>
      </c>
      <c r="C13" s="2" t="s">
        <v>1002</v>
      </c>
      <c r="D13" s="3">
        <v>474884</v>
      </c>
      <c r="E13" s="3">
        <v>83579697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>
        <v>1602</v>
      </c>
      <c r="B14" s="2">
        <v>101210</v>
      </c>
      <c r="C14" s="2" t="s">
        <v>1003</v>
      </c>
      <c r="D14" s="3">
        <v>442748</v>
      </c>
      <c r="E14" s="3">
        <v>77923763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>
        <v>1602</v>
      </c>
      <c r="B15" s="2">
        <v>101440</v>
      </c>
      <c r="C15" s="2" t="s">
        <v>1004</v>
      </c>
      <c r="D15" s="3">
        <v>430508</v>
      </c>
      <c r="E15" s="3">
        <v>75769515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>
        <v>1602</v>
      </c>
      <c r="B16" s="2">
        <v>100213</v>
      </c>
      <c r="C16" s="2" t="s">
        <v>1005</v>
      </c>
      <c r="D16" s="3">
        <v>567270</v>
      </c>
      <c r="E16" s="3">
        <v>99839575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>
        <v>1602</v>
      </c>
      <c r="B17" s="2">
        <v>101447</v>
      </c>
      <c r="C17" s="2" t="s">
        <v>1006</v>
      </c>
      <c r="D17" s="3">
        <v>451095</v>
      </c>
      <c r="E17" s="3">
        <v>79392761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>
        <v>1602</v>
      </c>
      <c r="B18" s="2">
        <v>101460</v>
      </c>
      <c r="C18" s="2" t="s">
        <v>1007</v>
      </c>
      <c r="D18" s="3">
        <v>440915</v>
      </c>
      <c r="E18" s="3">
        <v>77601117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>
        <v>1602</v>
      </c>
      <c r="B19" s="2">
        <v>101341</v>
      </c>
      <c r="C19" s="2" t="s">
        <v>1008</v>
      </c>
      <c r="D19" s="3">
        <v>402097</v>
      </c>
      <c r="E19" s="3">
        <v>70769205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>
        <v>1602</v>
      </c>
      <c r="B20" s="2">
        <v>101020</v>
      </c>
      <c r="C20" s="2" t="s">
        <v>1009</v>
      </c>
      <c r="D20" s="3">
        <v>267762</v>
      </c>
      <c r="E20" s="3">
        <v>47126211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A21" s="1">
        <v>1602</v>
      </c>
      <c r="B21" s="2">
        <v>101025</v>
      </c>
      <c r="C21" s="2" t="s">
        <v>1010</v>
      </c>
      <c r="D21" s="3">
        <v>399215</v>
      </c>
      <c r="E21" s="3">
        <v>70261950</v>
      </c>
      <c r="F21" s="5"/>
      <c r="G21" s="5"/>
      <c r="H21" s="3">
        <f t="shared" si="0"/>
        <v>0</v>
      </c>
      <c r="I21" s="3">
        <f t="shared" si="1"/>
        <v>0</v>
      </c>
    </row>
    <row r="22" spans="1:9" x14ac:dyDescent="0.2">
      <c r="A22" s="1">
        <v>1602</v>
      </c>
      <c r="B22" s="2">
        <v>100235</v>
      </c>
      <c r="C22" s="2" t="s">
        <v>1011</v>
      </c>
      <c r="D22" s="3">
        <v>503672</v>
      </c>
      <c r="E22" s="3">
        <v>88646441</v>
      </c>
      <c r="F22" s="5"/>
      <c r="G22" s="5"/>
      <c r="H22" s="3">
        <f t="shared" si="0"/>
        <v>0</v>
      </c>
      <c r="I22" s="3">
        <f t="shared" si="1"/>
        <v>0</v>
      </c>
    </row>
    <row r="23" spans="1:9" x14ac:dyDescent="0.2">
      <c r="A23" s="1">
        <v>1602</v>
      </c>
      <c r="B23" s="2">
        <v>100402</v>
      </c>
      <c r="C23" s="2" t="s">
        <v>1012</v>
      </c>
      <c r="D23" s="3">
        <v>380321</v>
      </c>
      <c r="E23" s="3">
        <v>66936665</v>
      </c>
      <c r="F23" s="5"/>
      <c r="G23" s="5"/>
      <c r="H23" s="3">
        <f t="shared" si="0"/>
        <v>0</v>
      </c>
      <c r="I23" s="3">
        <f t="shared" si="1"/>
        <v>0</v>
      </c>
    </row>
    <row r="24" spans="1:9" x14ac:dyDescent="0.2">
      <c r="A24" s="1">
        <v>1602</v>
      </c>
      <c r="B24" s="2">
        <v>101219</v>
      </c>
      <c r="C24" s="2" t="s">
        <v>1013</v>
      </c>
      <c r="D24" s="3">
        <v>412314</v>
      </c>
      <c r="E24" s="3">
        <v>72567410</v>
      </c>
      <c r="F24" s="5"/>
      <c r="G24" s="5"/>
      <c r="H24" s="3">
        <f t="shared" si="0"/>
        <v>0</v>
      </c>
      <c r="I24" s="3">
        <f t="shared" si="1"/>
        <v>0</v>
      </c>
    </row>
    <row r="25" spans="1:9" x14ac:dyDescent="0.2">
      <c r="A25" s="1">
        <v>1602</v>
      </c>
      <c r="B25" s="2">
        <v>101323</v>
      </c>
      <c r="C25" s="2" t="s">
        <v>1014</v>
      </c>
      <c r="D25" s="3">
        <v>398311</v>
      </c>
      <c r="E25" s="3">
        <v>70102803</v>
      </c>
      <c r="F25" s="5"/>
      <c r="G25" s="5"/>
      <c r="H25" s="3">
        <f t="shared" si="0"/>
        <v>0</v>
      </c>
      <c r="I25" s="3">
        <f t="shared" si="1"/>
        <v>0</v>
      </c>
    </row>
    <row r="26" spans="1:9" x14ac:dyDescent="0.2">
      <c r="A26" s="1">
        <v>1602</v>
      </c>
      <c r="B26" s="2">
        <v>100846</v>
      </c>
      <c r="C26" s="2" t="s">
        <v>1015</v>
      </c>
      <c r="D26" s="3">
        <v>452852</v>
      </c>
      <c r="E26" s="3">
        <v>79702043</v>
      </c>
      <c r="F26" s="5"/>
      <c r="G26" s="5"/>
      <c r="H26" s="3">
        <f t="shared" si="0"/>
        <v>0</v>
      </c>
      <c r="I26" s="3">
        <f t="shared" si="1"/>
        <v>0</v>
      </c>
    </row>
    <row r="27" spans="1:9" x14ac:dyDescent="0.2">
      <c r="A27" s="1">
        <v>1602</v>
      </c>
      <c r="B27" s="2">
        <v>101912</v>
      </c>
      <c r="C27" s="2" t="s">
        <v>1016</v>
      </c>
      <c r="D27" s="3">
        <v>226359</v>
      </c>
      <c r="E27" s="3">
        <v>39839250</v>
      </c>
      <c r="F27" s="5"/>
      <c r="G27" s="5"/>
      <c r="H27" s="3">
        <f t="shared" si="0"/>
        <v>0</v>
      </c>
      <c r="I27" s="3">
        <f t="shared" si="1"/>
        <v>0</v>
      </c>
    </row>
    <row r="28" spans="1:9" x14ac:dyDescent="0.2">
      <c r="A28" s="1">
        <v>1602</v>
      </c>
      <c r="B28" s="2">
        <v>101498</v>
      </c>
      <c r="C28" s="2" t="s">
        <v>1017</v>
      </c>
      <c r="D28" s="3">
        <v>416204</v>
      </c>
      <c r="E28" s="3">
        <v>73252054</v>
      </c>
      <c r="F28" s="5"/>
      <c r="G28" s="5"/>
      <c r="H28" s="3">
        <f t="shared" si="0"/>
        <v>0</v>
      </c>
      <c r="I28" s="3">
        <f t="shared" si="1"/>
        <v>0</v>
      </c>
    </row>
    <row r="29" spans="1:9" x14ac:dyDescent="0.2">
      <c r="H29" s="9">
        <f t="shared" ref="H29:I29" si="2">SUM(H3:H28)</f>
        <v>0</v>
      </c>
      <c r="I29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FD4D-7DA8-42FB-A789-BC6F4768F6C5}">
  <dimension ref="A1:K14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1018</v>
      </c>
      <c r="B3" s="2">
        <v>101214</v>
      </c>
      <c r="C3" s="2" t="s">
        <v>1019</v>
      </c>
      <c r="D3" s="3">
        <v>390504</v>
      </c>
      <c r="E3" s="3">
        <v>68728725</v>
      </c>
      <c r="F3" s="5"/>
      <c r="G3" s="5"/>
      <c r="H3" s="3">
        <f t="shared" ref="H3:H13" si="0">F3*D3</f>
        <v>0</v>
      </c>
      <c r="I3" s="3">
        <f t="shared" ref="I3:I13" si="1">(G3*E3)/100</f>
        <v>0</v>
      </c>
    </row>
    <row r="4" spans="1:11" x14ac:dyDescent="0.2">
      <c r="A4" s="1" t="s">
        <v>1018</v>
      </c>
      <c r="B4" s="2">
        <v>101772</v>
      </c>
      <c r="C4" s="2" t="s">
        <v>1020</v>
      </c>
      <c r="D4" s="3">
        <v>262988</v>
      </c>
      <c r="E4" s="3">
        <v>46285965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1018</v>
      </c>
      <c r="B5" s="2">
        <v>100926</v>
      </c>
      <c r="C5" s="2" t="s">
        <v>1021</v>
      </c>
      <c r="D5" s="3">
        <v>189648</v>
      </c>
      <c r="E5" s="3">
        <v>33378048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1018</v>
      </c>
      <c r="B6" s="2">
        <v>101164</v>
      </c>
      <c r="C6" s="2" t="s">
        <v>1022</v>
      </c>
      <c r="D6" s="3">
        <v>425631</v>
      </c>
      <c r="E6" s="3">
        <v>74911220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419738865</v>
      </c>
    </row>
    <row r="7" spans="1:11" ht="22.5" x14ac:dyDescent="0.6">
      <c r="A7" s="1" t="s">
        <v>1018</v>
      </c>
      <c r="B7" s="2">
        <v>101870</v>
      </c>
      <c r="C7" s="2" t="s">
        <v>1023</v>
      </c>
      <c r="D7" s="3">
        <v>244879</v>
      </c>
      <c r="E7" s="3">
        <v>43098825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478422977</v>
      </c>
    </row>
    <row r="8" spans="1:11" x14ac:dyDescent="0.2">
      <c r="A8" s="1" t="s">
        <v>1018</v>
      </c>
      <c r="B8" s="2">
        <v>100550</v>
      </c>
      <c r="C8" s="2" t="s">
        <v>1024</v>
      </c>
      <c r="D8" s="3">
        <v>503966</v>
      </c>
      <c r="E8" s="3">
        <v>88698031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1018</v>
      </c>
      <c r="B9" s="2">
        <v>101785</v>
      </c>
      <c r="C9" s="2" t="s">
        <v>1025</v>
      </c>
      <c r="D9" s="3">
        <v>346798</v>
      </c>
      <c r="E9" s="3">
        <v>61036564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 t="s">
        <v>1018</v>
      </c>
      <c r="B10" s="2">
        <v>100823</v>
      </c>
      <c r="C10" s="2" t="s">
        <v>1026</v>
      </c>
      <c r="D10" s="3">
        <v>543975</v>
      </c>
      <c r="E10" s="3">
        <v>95739754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 t="s">
        <v>1018</v>
      </c>
      <c r="B11" s="2">
        <v>101195</v>
      </c>
      <c r="C11" s="2" t="s">
        <v>1027</v>
      </c>
      <c r="D11" s="3">
        <v>424756</v>
      </c>
      <c r="E11" s="3">
        <v>74757206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 t="s">
        <v>1018</v>
      </c>
      <c r="B12" s="2">
        <v>101784</v>
      </c>
      <c r="C12" s="2" t="s">
        <v>1028</v>
      </c>
      <c r="D12" s="3">
        <v>239694</v>
      </c>
      <c r="E12" s="3">
        <v>42186144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 t="s">
        <v>1018</v>
      </c>
      <c r="B13" s="2">
        <v>101179</v>
      </c>
      <c r="C13" s="2" t="s">
        <v>1029</v>
      </c>
      <c r="D13" s="3">
        <v>424674</v>
      </c>
      <c r="E13" s="3">
        <v>74742719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H14" s="9">
        <f t="shared" ref="H14:I14" si="2">SUM(H3:H13)</f>
        <v>0</v>
      </c>
      <c r="I14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1837-C4C3-41DF-9BE7-3261BA2FE02E}">
  <dimension ref="A1:K62"/>
  <sheetViews>
    <sheetView rightToLeft="1" topLeftCell="A3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1030</v>
      </c>
      <c r="B3" s="2">
        <v>100478</v>
      </c>
      <c r="C3" s="2" t="s">
        <v>1031</v>
      </c>
      <c r="D3" s="3">
        <v>417842</v>
      </c>
      <c r="E3" s="3">
        <v>73540252</v>
      </c>
      <c r="F3" s="5"/>
      <c r="G3" s="5"/>
      <c r="H3" s="3">
        <f t="shared" ref="H3:H34" si="0">F3*D3</f>
        <v>0</v>
      </c>
      <c r="I3" s="3">
        <f t="shared" ref="I3:I34" si="1">(G3*E3)/100</f>
        <v>0</v>
      </c>
    </row>
    <row r="4" spans="1:11" x14ac:dyDescent="0.2">
      <c r="A4" s="1" t="s">
        <v>1030</v>
      </c>
      <c r="B4" s="2">
        <v>100691</v>
      </c>
      <c r="C4" s="2" t="s">
        <v>1032</v>
      </c>
      <c r="D4" s="3">
        <v>453373</v>
      </c>
      <c r="E4" s="3">
        <v>79793807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1030</v>
      </c>
      <c r="B5" s="2">
        <v>100844</v>
      </c>
      <c r="C5" s="2" t="s">
        <v>1033</v>
      </c>
      <c r="D5" s="3">
        <v>446119</v>
      </c>
      <c r="E5" s="3">
        <v>78517026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1030</v>
      </c>
      <c r="B6" s="2">
        <v>100520</v>
      </c>
      <c r="C6" s="2" t="s">
        <v>1034</v>
      </c>
      <c r="D6" s="3">
        <v>456260</v>
      </c>
      <c r="E6" s="3">
        <v>80301929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2355154000</v>
      </c>
    </row>
    <row r="7" spans="1:11" ht="22.5" x14ac:dyDescent="0.6">
      <c r="A7" s="1" t="s">
        <v>1030</v>
      </c>
      <c r="B7" s="2">
        <v>101200</v>
      </c>
      <c r="C7" s="2" t="s">
        <v>1035</v>
      </c>
      <c r="D7" s="3">
        <v>434367</v>
      </c>
      <c r="E7" s="3">
        <v>76448623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2688686451</v>
      </c>
    </row>
    <row r="8" spans="1:11" x14ac:dyDescent="0.2">
      <c r="A8" s="1" t="s">
        <v>1030</v>
      </c>
      <c r="B8" s="2">
        <v>101490</v>
      </c>
      <c r="C8" s="2" t="s">
        <v>1036</v>
      </c>
      <c r="D8" s="3">
        <v>368757</v>
      </c>
      <c r="E8" s="3">
        <v>64901348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1030</v>
      </c>
      <c r="B9" s="2">
        <v>101760</v>
      </c>
      <c r="C9" s="2" t="s">
        <v>1037</v>
      </c>
      <c r="D9" s="3">
        <v>330978</v>
      </c>
      <c r="E9" s="3">
        <v>58252227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 t="s">
        <v>1030</v>
      </c>
      <c r="B10" s="2">
        <v>101472</v>
      </c>
      <c r="C10" s="2" t="s">
        <v>1038</v>
      </c>
      <c r="D10" s="3">
        <v>373668</v>
      </c>
      <c r="E10" s="3">
        <v>65765608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 t="s">
        <v>1030</v>
      </c>
      <c r="B11" s="2">
        <v>100604</v>
      </c>
      <c r="C11" s="2" t="s">
        <v>1039</v>
      </c>
      <c r="D11" s="3">
        <v>458752</v>
      </c>
      <c r="E11" s="3">
        <v>80740376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 t="s">
        <v>1030</v>
      </c>
      <c r="B12" s="2">
        <v>100595</v>
      </c>
      <c r="C12" s="2" t="s">
        <v>1040</v>
      </c>
      <c r="D12" s="3">
        <v>417576</v>
      </c>
      <c r="E12" s="3">
        <v>73493504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 t="s">
        <v>1030</v>
      </c>
      <c r="B13" s="2">
        <v>101482</v>
      </c>
      <c r="C13" s="2" t="s">
        <v>1041</v>
      </c>
      <c r="D13" s="3">
        <v>399677</v>
      </c>
      <c r="E13" s="3">
        <v>70343225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 t="s">
        <v>1030</v>
      </c>
      <c r="B14" s="2">
        <v>100574</v>
      </c>
      <c r="C14" s="2" t="s">
        <v>1042</v>
      </c>
      <c r="D14" s="3">
        <v>518370</v>
      </c>
      <c r="E14" s="3">
        <v>91233256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 t="s">
        <v>1030</v>
      </c>
      <c r="B15" s="2">
        <v>101762</v>
      </c>
      <c r="C15" s="2" t="s">
        <v>1043</v>
      </c>
      <c r="D15" s="3">
        <v>330868</v>
      </c>
      <c r="E15" s="3">
        <v>58232911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 t="s">
        <v>1030</v>
      </c>
      <c r="B16" s="2">
        <v>100496</v>
      </c>
      <c r="C16" s="2" t="s">
        <v>1044</v>
      </c>
      <c r="D16" s="3">
        <v>530229</v>
      </c>
      <c r="E16" s="3">
        <v>93320425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 t="s">
        <v>1030</v>
      </c>
      <c r="B17" s="2">
        <v>100764</v>
      </c>
      <c r="C17" s="2" t="s">
        <v>1045</v>
      </c>
      <c r="D17" s="3">
        <v>445599</v>
      </c>
      <c r="E17" s="3">
        <v>78425550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 t="s">
        <v>1030</v>
      </c>
      <c r="B18" s="2">
        <v>101481</v>
      </c>
      <c r="C18" s="2" t="s">
        <v>1046</v>
      </c>
      <c r="D18" s="3">
        <v>414513</v>
      </c>
      <c r="E18" s="3">
        <v>72954437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 t="s">
        <v>1030</v>
      </c>
      <c r="B19" s="2">
        <v>101914</v>
      </c>
      <c r="C19" s="2" t="s">
        <v>1047</v>
      </c>
      <c r="D19" s="3">
        <v>226359</v>
      </c>
      <c r="E19" s="3">
        <v>39839250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 t="s">
        <v>1030</v>
      </c>
      <c r="B20" s="2">
        <v>101568</v>
      </c>
      <c r="C20" s="2" t="s">
        <v>1048</v>
      </c>
      <c r="D20" s="3">
        <v>378972</v>
      </c>
      <c r="E20" s="3">
        <v>66699242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A21" s="1" t="s">
        <v>1030</v>
      </c>
      <c r="B21" s="2">
        <v>100410</v>
      </c>
      <c r="C21" s="2" t="s">
        <v>1049</v>
      </c>
      <c r="D21" s="3">
        <v>509118</v>
      </c>
      <c r="E21" s="3">
        <v>89604832</v>
      </c>
      <c r="F21" s="5"/>
      <c r="G21" s="5"/>
      <c r="H21" s="3">
        <f t="shared" si="0"/>
        <v>0</v>
      </c>
      <c r="I21" s="3">
        <f t="shared" si="1"/>
        <v>0</v>
      </c>
    </row>
    <row r="22" spans="1:9" x14ac:dyDescent="0.2">
      <c r="A22" s="1" t="s">
        <v>1030</v>
      </c>
      <c r="B22" s="2">
        <v>100509</v>
      </c>
      <c r="C22" s="2" t="s">
        <v>1050</v>
      </c>
      <c r="D22" s="3">
        <v>354413</v>
      </c>
      <c r="E22" s="3">
        <v>62376786</v>
      </c>
      <c r="F22" s="5"/>
      <c r="G22" s="5"/>
      <c r="H22" s="3">
        <f t="shared" si="0"/>
        <v>0</v>
      </c>
      <c r="I22" s="3">
        <f t="shared" si="1"/>
        <v>0</v>
      </c>
    </row>
    <row r="23" spans="1:9" x14ac:dyDescent="0.2">
      <c r="A23" s="1" t="s">
        <v>1030</v>
      </c>
      <c r="B23" s="2">
        <v>101155</v>
      </c>
      <c r="C23" s="2" t="s">
        <v>1051</v>
      </c>
      <c r="D23" s="3">
        <v>432874</v>
      </c>
      <c r="E23" s="3">
        <v>76185945</v>
      </c>
      <c r="F23" s="5"/>
      <c r="G23" s="5"/>
      <c r="H23" s="3">
        <f t="shared" si="0"/>
        <v>0</v>
      </c>
      <c r="I23" s="3">
        <f t="shared" si="1"/>
        <v>0</v>
      </c>
    </row>
    <row r="24" spans="1:9" x14ac:dyDescent="0.2">
      <c r="A24" s="1" t="s">
        <v>1030</v>
      </c>
      <c r="B24" s="2">
        <v>101566</v>
      </c>
      <c r="C24" s="2" t="s">
        <v>1052</v>
      </c>
      <c r="D24" s="3">
        <v>380259</v>
      </c>
      <c r="E24" s="3">
        <v>66925691</v>
      </c>
      <c r="F24" s="5"/>
      <c r="G24" s="5"/>
      <c r="H24" s="3">
        <f t="shared" si="0"/>
        <v>0</v>
      </c>
      <c r="I24" s="3">
        <f t="shared" si="1"/>
        <v>0</v>
      </c>
    </row>
    <row r="25" spans="1:9" x14ac:dyDescent="0.2">
      <c r="A25" s="1" t="s">
        <v>1030</v>
      </c>
      <c r="B25" s="2">
        <v>100247</v>
      </c>
      <c r="C25" s="2" t="s">
        <v>1053</v>
      </c>
      <c r="D25" s="3">
        <v>509075</v>
      </c>
      <c r="E25" s="3">
        <v>89597266</v>
      </c>
      <c r="F25" s="5"/>
      <c r="G25" s="5"/>
      <c r="H25" s="3">
        <f t="shared" si="0"/>
        <v>0</v>
      </c>
      <c r="I25" s="3">
        <f t="shared" si="1"/>
        <v>0</v>
      </c>
    </row>
    <row r="26" spans="1:9" x14ac:dyDescent="0.2">
      <c r="A26" s="1" t="s">
        <v>1030</v>
      </c>
      <c r="B26" s="2">
        <v>101259</v>
      </c>
      <c r="C26" s="2" t="s">
        <v>1054</v>
      </c>
      <c r="D26" s="3">
        <v>405660</v>
      </c>
      <c r="E26" s="3">
        <v>71396222</v>
      </c>
      <c r="F26" s="5"/>
      <c r="G26" s="5"/>
      <c r="H26" s="3">
        <f t="shared" si="0"/>
        <v>0</v>
      </c>
      <c r="I26" s="3">
        <f t="shared" si="1"/>
        <v>0</v>
      </c>
    </row>
    <row r="27" spans="1:9" x14ac:dyDescent="0.2">
      <c r="A27" s="1" t="s">
        <v>1030</v>
      </c>
      <c r="B27" s="2">
        <v>100570</v>
      </c>
      <c r="C27" s="2" t="s">
        <v>1055</v>
      </c>
      <c r="D27" s="3">
        <v>449004</v>
      </c>
      <c r="E27" s="3">
        <v>79024742</v>
      </c>
      <c r="F27" s="5"/>
      <c r="G27" s="5"/>
      <c r="H27" s="3">
        <f t="shared" si="0"/>
        <v>0</v>
      </c>
      <c r="I27" s="3">
        <f t="shared" si="1"/>
        <v>0</v>
      </c>
    </row>
    <row r="28" spans="1:9" x14ac:dyDescent="0.2">
      <c r="A28" s="1" t="s">
        <v>1030</v>
      </c>
      <c r="B28" s="2">
        <v>100378</v>
      </c>
      <c r="C28" s="2" t="s">
        <v>1056</v>
      </c>
      <c r="D28" s="3">
        <v>506415</v>
      </c>
      <c r="E28" s="3">
        <v>89129210</v>
      </c>
      <c r="F28" s="5"/>
      <c r="G28" s="5"/>
      <c r="H28" s="3">
        <f t="shared" si="0"/>
        <v>0</v>
      </c>
      <c r="I28" s="3">
        <f t="shared" si="1"/>
        <v>0</v>
      </c>
    </row>
    <row r="29" spans="1:9" x14ac:dyDescent="0.2">
      <c r="A29" s="1" t="s">
        <v>1030</v>
      </c>
      <c r="B29" s="2">
        <v>101352</v>
      </c>
      <c r="C29" s="2" t="s">
        <v>1057</v>
      </c>
      <c r="D29" s="3">
        <v>380799</v>
      </c>
      <c r="E29" s="3">
        <v>67020765</v>
      </c>
      <c r="F29" s="5"/>
      <c r="G29" s="5"/>
      <c r="H29" s="3">
        <f t="shared" si="0"/>
        <v>0</v>
      </c>
      <c r="I29" s="3">
        <f t="shared" si="1"/>
        <v>0</v>
      </c>
    </row>
    <row r="30" spans="1:9" x14ac:dyDescent="0.2">
      <c r="A30" s="1" t="s">
        <v>1030</v>
      </c>
      <c r="B30" s="2">
        <v>100328</v>
      </c>
      <c r="C30" s="2" t="s">
        <v>1058</v>
      </c>
      <c r="D30" s="3">
        <v>486300</v>
      </c>
      <c r="E30" s="3">
        <v>85588944</v>
      </c>
      <c r="F30" s="5"/>
      <c r="G30" s="5"/>
      <c r="H30" s="3">
        <f t="shared" si="0"/>
        <v>0</v>
      </c>
      <c r="I30" s="3">
        <f t="shared" si="1"/>
        <v>0</v>
      </c>
    </row>
    <row r="31" spans="1:9" x14ac:dyDescent="0.2">
      <c r="A31" s="1" t="s">
        <v>1030</v>
      </c>
      <c r="B31" s="2">
        <v>101909</v>
      </c>
      <c r="C31" s="2" t="s">
        <v>1059</v>
      </c>
      <c r="D31" s="3">
        <v>255168</v>
      </c>
      <c r="E31" s="3">
        <v>44909700</v>
      </c>
      <c r="F31" s="5"/>
      <c r="G31" s="5"/>
      <c r="H31" s="3">
        <f t="shared" si="0"/>
        <v>0</v>
      </c>
      <c r="I31" s="3">
        <f t="shared" si="1"/>
        <v>0</v>
      </c>
    </row>
    <row r="32" spans="1:9" x14ac:dyDescent="0.2">
      <c r="A32" s="1" t="s">
        <v>1030</v>
      </c>
      <c r="B32" s="2">
        <v>101003</v>
      </c>
      <c r="C32" s="2" t="s">
        <v>1060</v>
      </c>
      <c r="D32" s="3">
        <v>318494</v>
      </c>
      <c r="E32" s="3">
        <v>56055032</v>
      </c>
      <c r="F32" s="5"/>
      <c r="G32" s="5"/>
      <c r="H32" s="3">
        <f t="shared" si="0"/>
        <v>0</v>
      </c>
      <c r="I32" s="3">
        <f t="shared" si="1"/>
        <v>0</v>
      </c>
    </row>
    <row r="33" spans="1:9" x14ac:dyDescent="0.2">
      <c r="A33" s="1" t="s">
        <v>1030</v>
      </c>
      <c r="B33" s="2">
        <v>100001</v>
      </c>
      <c r="C33" s="2" t="s">
        <v>1061</v>
      </c>
      <c r="D33" s="3">
        <v>488037</v>
      </c>
      <c r="E33" s="3">
        <v>85894628</v>
      </c>
      <c r="F33" s="5"/>
      <c r="G33" s="5"/>
      <c r="H33" s="3">
        <f t="shared" si="0"/>
        <v>0</v>
      </c>
      <c r="I33" s="3">
        <f t="shared" si="1"/>
        <v>0</v>
      </c>
    </row>
    <row r="34" spans="1:9" x14ac:dyDescent="0.2">
      <c r="A34" s="1" t="s">
        <v>1030</v>
      </c>
      <c r="B34" s="2">
        <v>100444</v>
      </c>
      <c r="C34" s="2" t="s">
        <v>1062</v>
      </c>
      <c r="D34" s="3">
        <v>518855</v>
      </c>
      <c r="E34" s="3">
        <v>91318600</v>
      </c>
      <c r="F34" s="5"/>
      <c r="G34" s="5"/>
      <c r="H34" s="3">
        <f t="shared" si="0"/>
        <v>0</v>
      </c>
      <c r="I34" s="3">
        <f t="shared" si="1"/>
        <v>0</v>
      </c>
    </row>
    <row r="35" spans="1:9" x14ac:dyDescent="0.2">
      <c r="A35" s="1" t="s">
        <v>1030</v>
      </c>
      <c r="B35" s="2">
        <v>101809</v>
      </c>
      <c r="C35" s="2" t="s">
        <v>1063</v>
      </c>
      <c r="D35" s="3">
        <v>274210</v>
      </c>
      <c r="E35" s="3">
        <v>48261026</v>
      </c>
      <c r="F35" s="5"/>
      <c r="G35" s="5"/>
      <c r="H35" s="3">
        <f t="shared" ref="H35:H61" si="2">F35*D35</f>
        <v>0</v>
      </c>
      <c r="I35" s="3">
        <f t="shared" ref="I35:I61" si="3">(G35*E35)/100</f>
        <v>0</v>
      </c>
    </row>
    <row r="36" spans="1:9" x14ac:dyDescent="0.2">
      <c r="A36" s="1" t="s">
        <v>1030</v>
      </c>
      <c r="B36" s="2">
        <v>101203</v>
      </c>
      <c r="C36" s="2" t="s">
        <v>1064</v>
      </c>
      <c r="D36" s="3">
        <v>435294</v>
      </c>
      <c r="E36" s="3">
        <v>76611817</v>
      </c>
      <c r="F36" s="5"/>
      <c r="G36" s="5"/>
      <c r="H36" s="3">
        <f t="shared" si="2"/>
        <v>0</v>
      </c>
      <c r="I36" s="3">
        <f t="shared" si="3"/>
        <v>0</v>
      </c>
    </row>
    <row r="37" spans="1:9" x14ac:dyDescent="0.2">
      <c r="A37" s="1" t="s">
        <v>1030</v>
      </c>
      <c r="B37" s="2">
        <v>101900</v>
      </c>
      <c r="C37" s="2" t="s">
        <v>1065</v>
      </c>
      <c r="D37" s="3">
        <v>226359</v>
      </c>
      <c r="E37" s="3">
        <v>39839250</v>
      </c>
      <c r="F37" s="5"/>
      <c r="G37" s="5"/>
      <c r="H37" s="3">
        <f t="shared" si="2"/>
        <v>0</v>
      </c>
      <c r="I37" s="3">
        <f t="shared" si="3"/>
        <v>0</v>
      </c>
    </row>
    <row r="38" spans="1:9" x14ac:dyDescent="0.2">
      <c r="A38" s="1" t="s">
        <v>1030</v>
      </c>
      <c r="B38" s="2">
        <v>101726</v>
      </c>
      <c r="C38" s="2" t="s">
        <v>1066</v>
      </c>
      <c r="D38" s="3">
        <v>373787</v>
      </c>
      <c r="E38" s="3">
        <v>65786561</v>
      </c>
      <c r="F38" s="5"/>
      <c r="G38" s="5"/>
      <c r="H38" s="3">
        <f t="shared" si="2"/>
        <v>0</v>
      </c>
      <c r="I38" s="3">
        <f t="shared" si="3"/>
        <v>0</v>
      </c>
    </row>
    <row r="39" spans="1:9" x14ac:dyDescent="0.2">
      <c r="A39" s="1" t="s">
        <v>1030</v>
      </c>
      <c r="B39" s="2">
        <v>100890</v>
      </c>
      <c r="C39" s="2" t="s">
        <v>1067</v>
      </c>
      <c r="D39" s="3">
        <v>449029</v>
      </c>
      <c r="E39" s="3">
        <v>79029139</v>
      </c>
      <c r="F39" s="5"/>
      <c r="G39" s="5"/>
      <c r="H39" s="3">
        <f t="shared" si="2"/>
        <v>0</v>
      </c>
      <c r="I39" s="3">
        <f t="shared" si="3"/>
        <v>0</v>
      </c>
    </row>
    <row r="40" spans="1:9" x14ac:dyDescent="0.2">
      <c r="A40" s="1" t="s">
        <v>1030</v>
      </c>
      <c r="B40" s="2">
        <v>101014</v>
      </c>
      <c r="C40" s="2" t="s">
        <v>1068</v>
      </c>
      <c r="D40" s="3">
        <v>359960</v>
      </c>
      <c r="E40" s="3">
        <v>63353020</v>
      </c>
      <c r="F40" s="5"/>
      <c r="G40" s="5"/>
      <c r="H40" s="3">
        <f t="shared" si="2"/>
        <v>0</v>
      </c>
      <c r="I40" s="3">
        <f t="shared" si="3"/>
        <v>0</v>
      </c>
    </row>
    <row r="41" spans="1:9" x14ac:dyDescent="0.2">
      <c r="A41" s="1" t="s">
        <v>1030</v>
      </c>
      <c r="B41" s="2">
        <v>101908</v>
      </c>
      <c r="C41" s="2" t="s">
        <v>1069</v>
      </c>
      <c r="D41" s="3">
        <v>255168</v>
      </c>
      <c r="E41" s="3">
        <v>44909700</v>
      </c>
      <c r="F41" s="5"/>
      <c r="G41" s="5"/>
      <c r="H41" s="3">
        <f t="shared" si="2"/>
        <v>0</v>
      </c>
      <c r="I41" s="3">
        <f t="shared" si="3"/>
        <v>0</v>
      </c>
    </row>
    <row r="42" spans="1:9" x14ac:dyDescent="0.2">
      <c r="A42" s="1" t="s">
        <v>1030</v>
      </c>
      <c r="B42" s="2">
        <v>101021</v>
      </c>
      <c r="C42" s="2" t="s">
        <v>1070</v>
      </c>
      <c r="D42" s="3">
        <v>456237</v>
      </c>
      <c r="E42" s="3">
        <v>71661840</v>
      </c>
      <c r="F42" s="5"/>
      <c r="G42" s="5"/>
      <c r="H42" s="3">
        <f t="shared" si="2"/>
        <v>0</v>
      </c>
      <c r="I42" s="3">
        <f t="shared" si="3"/>
        <v>0</v>
      </c>
    </row>
    <row r="43" spans="1:9" x14ac:dyDescent="0.2">
      <c r="A43" s="1" t="s">
        <v>1030</v>
      </c>
      <c r="B43" s="2">
        <v>100395</v>
      </c>
      <c r="C43" s="2" t="s">
        <v>1071</v>
      </c>
      <c r="D43" s="3">
        <v>439918</v>
      </c>
      <c r="E43" s="3">
        <v>77425721</v>
      </c>
      <c r="F43" s="5"/>
      <c r="G43" s="5"/>
      <c r="H43" s="3">
        <f t="shared" si="2"/>
        <v>0</v>
      </c>
      <c r="I43" s="3">
        <f t="shared" si="3"/>
        <v>0</v>
      </c>
    </row>
    <row r="44" spans="1:9" x14ac:dyDescent="0.2">
      <c r="A44" s="1" t="s">
        <v>1030</v>
      </c>
      <c r="B44" s="2">
        <v>101267</v>
      </c>
      <c r="C44" s="2" t="s">
        <v>1072</v>
      </c>
      <c r="D44" s="3">
        <v>433217</v>
      </c>
      <c r="E44" s="3">
        <v>76246319</v>
      </c>
      <c r="F44" s="5"/>
      <c r="G44" s="5"/>
      <c r="H44" s="3">
        <f t="shared" si="2"/>
        <v>0</v>
      </c>
      <c r="I44" s="3">
        <f t="shared" si="3"/>
        <v>0</v>
      </c>
    </row>
    <row r="45" spans="1:9" x14ac:dyDescent="0.2">
      <c r="A45" s="1" t="s">
        <v>1030</v>
      </c>
      <c r="B45" s="2">
        <v>21525</v>
      </c>
      <c r="C45" s="2" t="s">
        <v>1073</v>
      </c>
      <c r="D45" s="3">
        <v>395790</v>
      </c>
      <c r="E45" s="3">
        <v>69659180</v>
      </c>
      <c r="F45" s="5"/>
      <c r="G45" s="5"/>
      <c r="H45" s="3">
        <f t="shared" si="2"/>
        <v>0</v>
      </c>
      <c r="I45" s="3">
        <f t="shared" si="3"/>
        <v>0</v>
      </c>
    </row>
    <row r="46" spans="1:9" x14ac:dyDescent="0.2">
      <c r="A46" s="1" t="s">
        <v>1030</v>
      </c>
      <c r="B46" s="2">
        <v>100704</v>
      </c>
      <c r="C46" s="2" t="s">
        <v>1074</v>
      </c>
      <c r="D46" s="3">
        <v>476859</v>
      </c>
      <c r="E46" s="3">
        <v>83927336</v>
      </c>
      <c r="F46" s="5"/>
      <c r="G46" s="5"/>
      <c r="H46" s="3">
        <f t="shared" si="2"/>
        <v>0</v>
      </c>
      <c r="I46" s="3">
        <f t="shared" si="3"/>
        <v>0</v>
      </c>
    </row>
    <row r="47" spans="1:9" x14ac:dyDescent="0.2">
      <c r="A47" s="1" t="s">
        <v>1030</v>
      </c>
      <c r="B47" s="2">
        <v>101911</v>
      </c>
      <c r="C47" s="2" t="s">
        <v>1075</v>
      </c>
      <c r="D47" s="3">
        <v>226359</v>
      </c>
      <c r="E47" s="3">
        <v>39839250</v>
      </c>
      <c r="F47" s="5"/>
      <c r="G47" s="5"/>
      <c r="H47" s="3">
        <f t="shared" si="2"/>
        <v>0</v>
      </c>
      <c r="I47" s="3">
        <f t="shared" si="3"/>
        <v>0</v>
      </c>
    </row>
    <row r="48" spans="1:9" x14ac:dyDescent="0.2">
      <c r="A48" s="1" t="s">
        <v>1030</v>
      </c>
      <c r="B48" s="2">
        <v>101417</v>
      </c>
      <c r="C48" s="2" t="s">
        <v>1076</v>
      </c>
      <c r="D48" s="3">
        <v>361969</v>
      </c>
      <c r="E48" s="3">
        <v>63706565</v>
      </c>
      <c r="F48" s="5"/>
      <c r="G48" s="5"/>
      <c r="H48" s="3">
        <f t="shared" si="2"/>
        <v>0</v>
      </c>
      <c r="I48" s="3">
        <f t="shared" si="3"/>
        <v>0</v>
      </c>
    </row>
    <row r="49" spans="1:9" x14ac:dyDescent="0.2">
      <c r="A49" s="1" t="s">
        <v>1030</v>
      </c>
      <c r="B49" s="2">
        <v>101222</v>
      </c>
      <c r="C49" s="2" t="s">
        <v>1077</v>
      </c>
      <c r="D49" s="3">
        <v>436395</v>
      </c>
      <c r="E49" s="3">
        <v>76805563</v>
      </c>
      <c r="F49" s="5"/>
      <c r="G49" s="5"/>
      <c r="H49" s="3">
        <f t="shared" si="2"/>
        <v>0</v>
      </c>
      <c r="I49" s="3">
        <f t="shared" si="3"/>
        <v>0</v>
      </c>
    </row>
    <row r="50" spans="1:9" x14ac:dyDescent="0.2">
      <c r="A50" s="1" t="s">
        <v>1030</v>
      </c>
      <c r="B50" s="2">
        <v>101045</v>
      </c>
      <c r="C50" s="2" t="s">
        <v>1078</v>
      </c>
      <c r="D50" s="3">
        <v>328029</v>
      </c>
      <c r="E50" s="3">
        <v>57733236</v>
      </c>
      <c r="F50" s="5"/>
      <c r="G50" s="5"/>
      <c r="H50" s="3">
        <f t="shared" si="2"/>
        <v>0</v>
      </c>
      <c r="I50" s="3">
        <f t="shared" si="3"/>
        <v>0</v>
      </c>
    </row>
    <row r="51" spans="1:9" x14ac:dyDescent="0.2">
      <c r="A51" s="1" t="s">
        <v>1030</v>
      </c>
      <c r="B51" s="2">
        <v>101964</v>
      </c>
      <c r="C51" s="2" t="s">
        <v>1079</v>
      </c>
      <c r="D51" s="3">
        <v>226359</v>
      </c>
      <c r="E51" s="3">
        <v>39839250</v>
      </c>
      <c r="F51" s="5"/>
      <c r="G51" s="5"/>
      <c r="H51" s="3">
        <f t="shared" si="2"/>
        <v>0</v>
      </c>
      <c r="I51" s="3">
        <f t="shared" si="3"/>
        <v>0</v>
      </c>
    </row>
    <row r="52" spans="1:9" x14ac:dyDescent="0.2">
      <c r="A52" s="1" t="s">
        <v>1030</v>
      </c>
      <c r="B52" s="2">
        <v>101901</v>
      </c>
      <c r="C52" s="2" t="s">
        <v>1080</v>
      </c>
      <c r="D52" s="3">
        <v>255168</v>
      </c>
      <c r="E52" s="3">
        <v>44909700</v>
      </c>
      <c r="F52" s="5"/>
      <c r="G52" s="5"/>
      <c r="H52" s="3">
        <f t="shared" si="2"/>
        <v>0</v>
      </c>
      <c r="I52" s="3">
        <f t="shared" si="3"/>
        <v>0</v>
      </c>
    </row>
    <row r="53" spans="1:9" x14ac:dyDescent="0.2">
      <c r="A53" s="1" t="s">
        <v>1030</v>
      </c>
      <c r="B53" s="2">
        <v>101344</v>
      </c>
      <c r="C53" s="2" t="s">
        <v>1081</v>
      </c>
      <c r="D53" s="3">
        <v>470748</v>
      </c>
      <c r="E53" s="3">
        <v>82851795</v>
      </c>
      <c r="F53" s="5"/>
      <c r="G53" s="5"/>
      <c r="H53" s="3">
        <f t="shared" si="2"/>
        <v>0</v>
      </c>
      <c r="I53" s="3">
        <f t="shared" si="3"/>
        <v>0</v>
      </c>
    </row>
    <row r="54" spans="1:9" x14ac:dyDescent="0.2">
      <c r="A54" s="1" t="s">
        <v>1030</v>
      </c>
      <c r="B54" s="2">
        <v>101758</v>
      </c>
      <c r="C54" s="2" t="s">
        <v>1082</v>
      </c>
      <c r="D54" s="3">
        <v>329167</v>
      </c>
      <c r="E54" s="3">
        <v>57933513</v>
      </c>
      <c r="F54" s="5"/>
      <c r="G54" s="5"/>
      <c r="H54" s="3">
        <f t="shared" si="2"/>
        <v>0</v>
      </c>
      <c r="I54" s="3">
        <f t="shared" si="3"/>
        <v>0</v>
      </c>
    </row>
    <row r="55" spans="1:9" x14ac:dyDescent="0.2">
      <c r="A55" s="1" t="s">
        <v>1030</v>
      </c>
      <c r="B55" s="2">
        <v>100556</v>
      </c>
      <c r="C55" s="2" t="s">
        <v>1083</v>
      </c>
      <c r="D55" s="3">
        <v>451902</v>
      </c>
      <c r="E55" s="3">
        <v>79534835</v>
      </c>
      <c r="F55" s="5"/>
      <c r="G55" s="5"/>
      <c r="H55" s="3">
        <f t="shared" si="2"/>
        <v>0</v>
      </c>
      <c r="I55" s="3">
        <f t="shared" si="3"/>
        <v>0</v>
      </c>
    </row>
    <row r="56" spans="1:9" x14ac:dyDescent="0.2">
      <c r="A56" s="1" t="s">
        <v>1030</v>
      </c>
      <c r="B56" s="2">
        <v>100579</v>
      </c>
      <c r="C56" s="2" t="s">
        <v>1084</v>
      </c>
      <c r="D56" s="3">
        <v>470610</v>
      </c>
      <c r="E56" s="3">
        <v>82827365</v>
      </c>
      <c r="F56" s="5"/>
      <c r="G56" s="5"/>
      <c r="H56" s="3">
        <f t="shared" si="2"/>
        <v>0</v>
      </c>
      <c r="I56" s="3">
        <f t="shared" si="3"/>
        <v>0</v>
      </c>
    </row>
    <row r="57" spans="1:9" x14ac:dyDescent="0.2">
      <c r="A57" s="1" t="s">
        <v>1030</v>
      </c>
      <c r="B57" s="2">
        <v>100576</v>
      </c>
      <c r="C57" s="2" t="s">
        <v>1085</v>
      </c>
      <c r="D57" s="3">
        <v>483642</v>
      </c>
      <c r="E57" s="3">
        <v>85120996</v>
      </c>
      <c r="F57" s="5"/>
      <c r="G57" s="5"/>
      <c r="H57" s="3">
        <f t="shared" si="2"/>
        <v>0</v>
      </c>
      <c r="I57" s="3">
        <f t="shared" si="3"/>
        <v>0</v>
      </c>
    </row>
    <row r="58" spans="1:9" x14ac:dyDescent="0.2">
      <c r="A58" s="1" t="s">
        <v>1030</v>
      </c>
      <c r="B58" s="2">
        <v>101363</v>
      </c>
      <c r="C58" s="2" t="s">
        <v>1086</v>
      </c>
      <c r="D58" s="3">
        <v>353265</v>
      </c>
      <c r="E58" s="3">
        <v>62174744</v>
      </c>
      <c r="F58" s="5"/>
      <c r="G58" s="5"/>
      <c r="H58" s="3">
        <f t="shared" si="2"/>
        <v>0</v>
      </c>
      <c r="I58" s="3">
        <f t="shared" si="3"/>
        <v>0</v>
      </c>
    </row>
    <row r="59" spans="1:9" x14ac:dyDescent="0.2">
      <c r="A59" s="1" t="s">
        <v>1030</v>
      </c>
      <c r="B59" s="2">
        <v>101798</v>
      </c>
      <c r="C59" s="2" t="s">
        <v>1087</v>
      </c>
      <c r="D59" s="3">
        <v>302498</v>
      </c>
      <c r="E59" s="3">
        <v>53239725</v>
      </c>
      <c r="F59" s="5"/>
      <c r="G59" s="5"/>
      <c r="H59" s="3">
        <f t="shared" si="2"/>
        <v>0</v>
      </c>
      <c r="I59" s="3">
        <f t="shared" si="3"/>
        <v>0</v>
      </c>
    </row>
    <row r="60" spans="1:9" x14ac:dyDescent="0.2">
      <c r="A60" s="1" t="s">
        <v>1030</v>
      </c>
      <c r="B60" s="2">
        <v>100809</v>
      </c>
      <c r="C60" s="2" t="s">
        <v>1088</v>
      </c>
      <c r="D60" s="3">
        <v>511033</v>
      </c>
      <c r="E60" s="3">
        <v>89941903</v>
      </c>
      <c r="F60" s="5"/>
      <c r="G60" s="5"/>
      <c r="H60" s="3">
        <f t="shared" si="2"/>
        <v>0</v>
      </c>
      <c r="I60" s="3">
        <f t="shared" si="3"/>
        <v>0</v>
      </c>
    </row>
    <row r="61" spans="1:9" x14ac:dyDescent="0.2">
      <c r="A61" s="1" t="s">
        <v>1030</v>
      </c>
      <c r="B61" s="2">
        <v>100477</v>
      </c>
      <c r="C61" s="2" t="s">
        <v>1089</v>
      </c>
      <c r="D61" s="3">
        <v>371818</v>
      </c>
      <c r="E61" s="3">
        <v>65439986</v>
      </c>
      <c r="F61" s="5"/>
      <c r="G61" s="5"/>
      <c r="H61" s="3">
        <f t="shared" si="2"/>
        <v>0</v>
      </c>
      <c r="I61" s="3">
        <f t="shared" si="3"/>
        <v>0</v>
      </c>
    </row>
    <row r="62" spans="1:9" x14ac:dyDescent="0.2">
      <c r="H62" s="9">
        <f t="shared" ref="H62:I62" si="4">SUM(H3:H61)</f>
        <v>0</v>
      </c>
      <c r="I62" s="9">
        <f t="shared" si="4"/>
        <v>0</v>
      </c>
    </row>
  </sheetData>
  <mergeCells count="1">
    <mergeCell ref="A1:I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80E2-F473-4ED9-A778-1B65DC4D613B}">
  <dimension ref="A1:K20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>
        <v>1621</v>
      </c>
      <c r="B3" s="2">
        <v>100718</v>
      </c>
      <c r="C3" s="2" t="s">
        <v>1090</v>
      </c>
      <c r="D3" s="3">
        <v>526359</v>
      </c>
      <c r="E3" s="3">
        <v>92639284</v>
      </c>
      <c r="F3" s="5"/>
      <c r="G3" s="5"/>
      <c r="H3" s="3">
        <f t="shared" ref="H3:H19" si="0">F3*D3</f>
        <v>0</v>
      </c>
      <c r="I3" s="3">
        <f t="shared" ref="I3:I19" si="1">(G3*E3)/100</f>
        <v>0</v>
      </c>
    </row>
    <row r="4" spans="1:11" x14ac:dyDescent="0.2">
      <c r="A4" s="1">
        <v>1621</v>
      </c>
      <c r="B4" s="2">
        <v>101794</v>
      </c>
      <c r="C4" s="2" t="s">
        <v>1091</v>
      </c>
      <c r="D4" s="3">
        <v>302498</v>
      </c>
      <c r="E4" s="3">
        <v>53239725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>
        <v>1621</v>
      </c>
      <c r="B5" s="2">
        <v>100492</v>
      </c>
      <c r="C5" s="2" t="s">
        <v>1092</v>
      </c>
      <c r="D5" s="3">
        <v>526359</v>
      </c>
      <c r="E5" s="3">
        <v>92639284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>
        <v>1621</v>
      </c>
      <c r="B6" s="2">
        <v>101250</v>
      </c>
      <c r="C6" s="2" t="s">
        <v>1093</v>
      </c>
      <c r="D6" s="3">
        <v>442927</v>
      </c>
      <c r="E6" s="3">
        <v>77955176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743877700</v>
      </c>
    </row>
    <row r="7" spans="1:11" ht="22.5" x14ac:dyDescent="0.6">
      <c r="A7" s="1">
        <v>1621</v>
      </c>
      <c r="B7" s="2">
        <v>101307</v>
      </c>
      <c r="C7" s="2" t="s">
        <v>1094</v>
      </c>
      <c r="D7" s="3">
        <v>442812</v>
      </c>
      <c r="E7" s="3">
        <v>77934963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850996934</v>
      </c>
    </row>
    <row r="8" spans="1:11" x14ac:dyDescent="0.2">
      <c r="A8" s="1">
        <v>1621</v>
      </c>
      <c r="B8" s="2">
        <v>100797</v>
      </c>
      <c r="C8" s="2" t="s">
        <v>1095</v>
      </c>
      <c r="D8" s="3">
        <v>483076</v>
      </c>
      <c r="E8" s="3">
        <v>85021463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>
        <v>1621</v>
      </c>
      <c r="B9" s="2">
        <v>101773</v>
      </c>
      <c r="C9" s="2" t="s">
        <v>1096</v>
      </c>
      <c r="D9" s="3">
        <v>271274</v>
      </c>
      <c r="E9" s="3">
        <v>47744323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>
        <v>1621</v>
      </c>
      <c r="B10" s="2">
        <v>100740</v>
      </c>
      <c r="C10" s="2" t="s">
        <v>1097</v>
      </c>
      <c r="D10" s="3">
        <v>459760</v>
      </c>
      <c r="E10" s="3">
        <v>80917769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>
        <v>1621</v>
      </c>
      <c r="B11" s="2">
        <v>100565</v>
      </c>
      <c r="C11" s="2" t="s">
        <v>1098</v>
      </c>
      <c r="D11" s="3">
        <v>538460</v>
      </c>
      <c r="E11" s="3">
        <v>94769125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>
        <v>1621</v>
      </c>
      <c r="B12" s="2">
        <v>100831</v>
      </c>
      <c r="C12" s="2" t="s">
        <v>1099</v>
      </c>
      <c r="D12" s="3">
        <v>479868</v>
      </c>
      <c r="E12" s="3">
        <v>84456876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>
        <v>1621</v>
      </c>
      <c r="B13" s="2">
        <v>101305</v>
      </c>
      <c r="C13" s="2" t="s">
        <v>1100</v>
      </c>
      <c r="D13" s="3">
        <v>465941</v>
      </c>
      <c r="E13" s="3">
        <v>82005643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>
        <v>1621</v>
      </c>
      <c r="B14" s="2">
        <v>101492</v>
      </c>
      <c r="C14" s="2" t="s">
        <v>1101</v>
      </c>
      <c r="D14" s="3">
        <v>379086</v>
      </c>
      <c r="E14" s="3">
        <v>66719180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>
        <v>1621</v>
      </c>
      <c r="B15" s="2">
        <v>100721</v>
      </c>
      <c r="C15" s="2" t="s">
        <v>1102</v>
      </c>
      <c r="D15" s="3">
        <v>456436</v>
      </c>
      <c r="E15" s="3">
        <v>80332802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>
        <v>1621</v>
      </c>
      <c r="B16" s="2">
        <v>100553</v>
      </c>
      <c r="C16" s="2" t="s">
        <v>1103</v>
      </c>
      <c r="D16" s="3">
        <v>511712</v>
      </c>
      <c r="E16" s="3">
        <v>90061387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>
        <v>1621</v>
      </c>
      <c r="B17" s="2">
        <v>101223</v>
      </c>
      <c r="C17" s="2" t="s">
        <v>1104</v>
      </c>
      <c r="D17" s="3">
        <v>441969</v>
      </c>
      <c r="E17" s="3">
        <v>77786639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>
        <v>1621</v>
      </c>
      <c r="B18" s="2">
        <v>101933</v>
      </c>
      <c r="C18" s="2" t="s">
        <v>1105</v>
      </c>
      <c r="D18" s="3">
        <v>226359</v>
      </c>
      <c r="E18" s="3">
        <v>39839250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>
        <v>1621</v>
      </c>
      <c r="B19" s="2">
        <v>100796</v>
      </c>
      <c r="C19" s="2" t="s">
        <v>1106</v>
      </c>
      <c r="D19" s="3">
        <v>483881</v>
      </c>
      <c r="E19" s="3">
        <v>85163164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H20" s="9">
        <f t="shared" ref="H20:I20" si="2">SUM(H3:H19)</f>
        <v>0</v>
      </c>
      <c r="I20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521A9-09FC-4835-AC50-8BB8B020D810}">
  <dimension ref="A1:K15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>
        <v>1606</v>
      </c>
      <c r="B3" s="2">
        <v>100791</v>
      </c>
      <c r="C3" s="2" t="s">
        <v>1107</v>
      </c>
      <c r="D3" s="3">
        <v>481889</v>
      </c>
      <c r="E3" s="3">
        <v>84812549</v>
      </c>
      <c r="F3" s="5"/>
      <c r="G3" s="5"/>
      <c r="H3" s="3">
        <f t="shared" ref="H3:H14" si="0">F3*D3</f>
        <v>0</v>
      </c>
      <c r="I3" s="3">
        <f t="shared" ref="I3:I14" si="1">(G3*E3)/100</f>
        <v>0</v>
      </c>
    </row>
    <row r="4" spans="1:11" x14ac:dyDescent="0.2">
      <c r="A4" s="1">
        <v>1606</v>
      </c>
      <c r="B4" s="2">
        <v>101759</v>
      </c>
      <c r="C4" s="2" t="s">
        <v>1108</v>
      </c>
      <c r="D4" s="3">
        <v>338084</v>
      </c>
      <c r="E4" s="3">
        <v>59502938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>
        <v>1606</v>
      </c>
      <c r="B5" s="2">
        <v>100803</v>
      </c>
      <c r="C5" s="2" t="s">
        <v>1109</v>
      </c>
      <c r="D5" s="3">
        <v>484093</v>
      </c>
      <c r="E5" s="3">
        <v>85200470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>
        <v>1606</v>
      </c>
      <c r="B6" s="2">
        <v>101466</v>
      </c>
      <c r="C6" s="2" t="s">
        <v>1110</v>
      </c>
      <c r="D6" s="3">
        <v>411689</v>
      </c>
      <c r="E6" s="3">
        <v>72457335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502777900</v>
      </c>
    </row>
    <row r="7" spans="1:11" ht="22.5" x14ac:dyDescent="0.6">
      <c r="A7" s="1">
        <v>1606</v>
      </c>
      <c r="B7" s="2">
        <v>101776</v>
      </c>
      <c r="C7" s="2" t="s">
        <v>1111</v>
      </c>
      <c r="D7" s="3">
        <v>370570</v>
      </c>
      <c r="E7" s="3">
        <v>65220474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575178593</v>
      </c>
    </row>
    <row r="8" spans="1:11" x14ac:dyDescent="0.2">
      <c r="A8" s="1">
        <v>1606</v>
      </c>
      <c r="B8" s="2">
        <v>101873</v>
      </c>
      <c r="C8" s="2" t="s">
        <v>1112</v>
      </c>
      <c r="D8" s="3">
        <v>226359</v>
      </c>
      <c r="E8" s="3">
        <v>39839250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>
        <v>1606</v>
      </c>
      <c r="B9" s="2">
        <v>100500</v>
      </c>
      <c r="C9" s="2" t="s">
        <v>1113</v>
      </c>
      <c r="D9" s="3">
        <v>441010</v>
      </c>
      <c r="E9" s="3">
        <v>77617889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>
        <v>1606</v>
      </c>
      <c r="B10" s="2">
        <v>140107</v>
      </c>
      <c r="C10" s="2" t="s">
        <v>1114</v>
      </c>
      <c r="D10" s="3">
        <v>517968</v>
      </c>
      <c r="E10" s="3">
        <v>91162399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>
        <v>1606</v>
      </c>
      <c r="B11" s="2">
        <v>101441</v>
      </c>
      <c r="C11" s="2" t="s">
        <v>1115</v>
      </c>
      <c r="D11" s="3">
        <v>401674</v>
      </c>
      <c r="E11" s="3">
        <v>70694750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>
        <v>1606</v>
      </c>
      <c r="B12" s="2">
        <v>100591</v>
      </c>
      <c r="C12" s="2" t="s">
        <v>1116</v>
      </c>
      <c r="D12" s="3">
        <v>524056</v>
      </c>
      <c r="E12" s="3">
        <v>92233900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>
        <v>1606</v>
      </c>
      <c r="B13" s="2">
        <v>101065</v>
      </c>
      <c r="C13" s="2" t="s">
        <v>1117</v>
      </c>
      <c r="D13" s="3">
        <v>367635</v>
      </c>
      <c r="E13" s="3">
        <v>64703771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>
        <v>1606</v>
      </c>
      <c r="B14" s="2">
        <v>100532</v>
      </c>
      <c r="C14" s="2" t="s">
        <v>1118</v>
      </c>
      <c r="D14" s="3">
        <v>462752</v>
      </c>
      <c r="E14" s="3">
        <v>81444418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H15" s="9">
        <f t="shared" ref="H15:I15" si="2">SUM(H3:H14)</f>
        <v>0</v>
      </c>
      <c r="I15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B24D2-4C0F-4AE2-96DD-9D2DB7749D07}">
  <dimension ref="A1:K21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>
        <v>1617</v>
      </c>
      <c r="B3" s="2">
        <v>100920</v>
      </c>
      <c r="C3" s="2" t="s">
        <v>1119</v>
      </c>
      <c r="D3" s="3">
        <v>368924</v>
      </c>
      <c r="E3" s="3">
        <v>64930734</v>
      </c>
      <c r="F3" s="5"/>
      <c r="G3" s="5"/>
      <c r="H3" s="3">
        <f t="shared" ref="H3:H20" si="0">F3*D3</f>
        <v>0</v>
      </c>
      <c r="I3" s="3">
        <f t="shared" ref="I3:I20" si="1">(G3*E3)/100</f>
        <v>0</v>
      </c>
    </row>
    <row r="4" spans="1:11" x14ac:dyDescent="0.2">
      <c r="A4" s="1">
        <v>1617</v>
      </c>
      <c r="B4" s="2">
        <v>101572</v>
      </c>
      <c r="C4" s="2" t="s">
        <v>1120</v>
      </c>
      <c r="D4" s="3">
        <v>456237</v>
      </c>
      <c r="E4" s="3">
        <v>71661840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>
        <v>1617</v>
      </c>
      <c r="B5" s="2">
        <v>101459</v>
      </c>
      <c r="C5" s="2" t="s">
        <v>1121</v>
      </c>
      <c r="D5" s="3">
        <v>472531</v>
      </c>
      <c r="E5" s="3">
        <v>83165585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>
        <v>1617</v>
      </c>
      <c r="B6" s="2">
        <v>101736</v>
      </c>
      <c r="C6" s="2" t="s">
        <v>1122</v>
      </c>
      <c r="D6" s="3">
        <v>381003</v>
      </c>
      <c r="E6" s="3">
        <v>67056588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655222980</v>
      </c>
    </row>
    <row r="7" spans="1:11" ht="22.5" x14ac:dyDescent="0.6">
      <c r="A7" s="1">
        <v>1617</v>
      </c>
      <c r="B7" s="2">
        <v>100929</v>
      </c>
      <c r="C7" s="2" t="s">
        <v>1123</v>
      </c>
      <c r="D7" s="3">
        <v>342886</v>
      </c>
      <c r="E7" s="3">
        <v>60348013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748427805</v>
      </c>
    </row>
    <row r="8" spans="1:11" x14ac:dyDescent="0.2">
      <c r="A8" s="1">
        <v>1617</v>
      </c>
      <c r="B8" s="2">
        <v>101783</v>
      </c>
      <c r="C8" s="2" t="s">
        <v>1124</v>
      </c>
      <c r="D8" s="3">
        <v>237334</v>
      </c>
      <c r="E8" s="3">
        <v>41770850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>
        <v>1617</v>
      </c>
      <c r="B9" s="2">
        <v>100939</v>
      </c>
      <c r="C9" s="2" t="s">
        <v>1125</v>
      </c>
      <c r="D9" s="3">
        <v>343709</v>
      </c>
      <c r="E9" s="3">
        <v>60492883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>
        <v>1617</v>
      </c>
      <c r="B10" s="2">
        <v>100947</v>
      </c>
      <c r="C10" s="2" t="s">
        <v>1126</v>
      </c>
      <c r="D10" s="3">
        <v>368046</v>
      </c>
      <c r="E10" s="3">
        <v>64776206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>
        <v>1617</v>
      </c>
      <c r="B11" s="2">
        <v>101496</v>
      </c>
      <c r="C11" s="2" t="s">
        <v>1127</v>
      </c>
      <c r="D11" s="3">
        <v>303678</v>
      </c>
      <c r="E11" s="3">
        <v>53447372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>
        <v>1617</v>
      </c>
      <c r="B12" s="2">
        <v>100953</v>
      </c>
      <c r="C12" s="2" t="s">
        <v>1128</v>
      </c>
      <c r="D12" s="3">
        <v>344038</v>
      </c>
      <c r="E12" s="3">
        <v>60550831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>
        <v>1617</v>
      </c>
      <c r="B13" s="2">
        <v>100446</v>
      </c>
      <c r="C13" s="2" t="s">
        <v>1129</v>
      </c>
      <c r="D13" s="3">
        <v>518426</v>
      </c>
      <c r="E13" s="3">
        <v>91243022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>
        <v>1617</v>
      </c>
      <c r="B14" s="2">
        <v>101131</v>
      </c>
      <c r="C14" s="2" t="s">
        <v>1130</v>
      </c>
      <c r="D14" s="3">
        <v>362070</v>
      </c>
      <c r="E14" s="3">
        <v>63724411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>
        <v>1617</v>
      </c>
      <c r="B15" s="2">
        <v>101012</v>
      </c>
      <c r="C15" s="2" t="s">
        <v>1131</v>
      </c>
      <c r="D15" s="3">
        <v>275801</v>
      </c>
      <c r="E15" s="3">
        <v>48541108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>
        <v>1617</v>
      </c>
      <c r="B16" s="2">
        <v>101013</v>
      </c>
      <c r="C16" s="2" t="s">
        <v>1132</v>
      </c>
      <c r="D16" s="3">
        <v>373945</v>
      </c>
      <c r="E16" s="3">
        <v>65814441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>
        <v>1617</v>
      </c>
      <c r="B17" s="2">
        <v>100501</v>
      </c>
      <c r="C17" s="2" t="s">
        <v>1133</v>
      </c>
      <c r="D17" s="3">
        <v>511452</v>
      </c>
      <c r="E17" s="3">
        <v>90015667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>
        <v>1617</v>
      </c>
      <c r="B18" s="2">
        <v>101562</v>
      </c>
      <c r="C18" s="2" t="s">
        <v>1134</v>
      </c>
      <c r="D18" s="3">
        <v>456237</v>
      </c>
      <c r="E18" s="3">
        <v>71661840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>
        <v>1617</v>
      </c>
      <c r="B19" s="2">
        <v>101054</v>
      </c>
      <c r="C19" s="2" t="s">
        <v>1135</v>
      </c>
      <c r="D19" s="3">
        <v>324530</v>
      </c>
      <c r="E19" s="3">
        <v>57117412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>
        <v>1617</v>
      </c>
      <c r="B20" s="2">
        <v>101786</v>
      </c>
      <c r="C20" s="2" t="s">
        <v>1136</v>
      </c>
      <c r="D20" s="3">
        <v>456237</v>
      </c>
      <c r="E20" s="3">
        <v>71661840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H21" s="9">
        <f t="shared" ref="H21:I21" si="2">SUM(H3:H20)</f>
        <v>0</v>
      </c>
      <c r="I21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64A3-2184-45B2-A925-C09AE0458476}">
  <dimension ref="A1:K11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1137</v>
      </c>
      <c r="B3" s="2">
        <v>101940</v>
      </c>
      <c r="C3" s="2" t="s">
        <v>1138</v>
      </c>
      <c r="D3" s="3">
        <v>218128</v>
      </c>
      <c r="E3" s="3">
        <v>38390550</v>
      </c>
      <c r="F3" s="5"/>
      <c r="G3" s="5"/>
      <c r="H3" s="3">
        <f t="shared" ref="H3:H10" si="0">F3*D3</f>
        <v>0</v>
      </c>
      <c r="I3" s="3">
        <f t="shared" ref="I3:I10" si="1">(G3*E3)/100</f>
        <v>0</v>
      </c>
    </row>
    <row r="4" spans="1:11" x14ac:dyDescent="0.2">
      <c r="A4" s="1" t="s">
        <v>1137</v>
      </c>
      <c r="B4" s="2">
        <v>101402</v>
      </c>
      <c r="C4" s="2" t="s">
        <v>1139</v>
      </c>
      <c r="D4" s="3">
        <v>352410</v>
      </c>
      <c r="E4" s="3">
        <v>62024328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1137</v>
      </c>
      <c r="B5" s="2">
        <v>101232</v>
      </c>
      <c r="C5" s="2" t="s">
        <v>1140</v>
      </c>
      <c r="D5" s="3">
        <v>424854</v>
      </c>
      <c r="E5" s="3">
        <v>74774335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1137</v>
      </c>
      <c r="B6" s="2">
        <v>100870</v>
      </c>
      <c r="C6" s="2" t="s">
        <v>1141</v>
      </c>
      <c r="D6" s="3">
        <v>452087</v>
      </c>
      <c r="E6" s="3">
        <v>79567332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285066915</v>
      </c>
    </row>
    <row r="7" spans="1:11" ht="22.5" x14ac:dyDescent="0.6">
      <c r="A7" s="1" t="s">
        <v>1137</v>
      </c>
      <c r="B7" s="2">
        <v>101904</v>
      </c>
      <c r="C7" s="2" t="s">
        <v>1142</v>
      </c>
      <c r="D7" s="3">
        <v>244879</v>
      </c>
      <c r="E7" s="3">
        <v>43098825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324922406</v>
      </c>
    </row>
    <row r="8" spans="1:11" x14ac:dyDescent="0.2">
      <c r="A8" s="1" t="s">
        <v>1137</v>
      </c>
      <c r="B8" s="2">
        <v>101018</v>
      </c>
      <c r="C8" s="2" t="s">
        <v>1143</v>
      </c>
      <c r="D8" s="3">
        <v>338112</v>
      </c>
      <c r="E8" s="3">
        <v>59507767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1137</v>
      </c>
      <c r="B9" s="2">
        <v>101275</v>
      </c>
      <c r="C9" s="2" t="s">
        <v>1144</v>
      </c>
      <c r="D9" s="3">
        <v>425553</v>
      </c>
      <c r="E9" s="3">
        <v>74897486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 t="s">
        <v>1137</v>
      </c>
      <c r="B10" s="2">
        <v>101807</v>
      </c>
      <c r="C10" s="2" t="s">
        <v>1145</v>
      </c>
      <c r="D10" s="3">
        <v>258900</v>
      </c>
      <c r="E10" s="3">
        <v>45566444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H11" s="9">
        <f t="shared" ref="H11:I11" si="2">SUM(H3:H10)</f>
        <v>0</v>
      </c>
      <c r="I11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1C0C-B2A4-4EE1-ACEA-53B1B8AA0C7A}">
  <dimension ref="A1:K10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1146</v>
      </c>
      <c r="B3" s="2">
        <v>100771</v>
      </c>
      <c r="C3" s="2" t="s">
        <v>1147</v>
      </c>
      <c r="D3" s="3">
        <v>522940</v>
      </c>
      <c r="E3" s="3">
        <v>92037548</v>
      </c>
      <c r="F3" s="5"/>
      <c r="G3" s="5"/>
      <c r="H3" s="3">
        <f t="shared" ref="H3:H9" si="0">F3*D3</f>
        <v>0</v>
      </c>
      <c r="I3" s="3">
        <f t="shared" ref="I3:I9" si="1">(G3*E3)/100</f>
        <v>0</v>
      </c>
    </row>
    <row r="4" spans="1:11" x14ac:dyDescent="0.2">
      <c r="A4" s="1" t="s">
        <v>1146</v>
      </c>
      <c r="B4" s="2">
        <v>101270</v>
      </c>
      <c r="C4" s="2" t="s">
        <v>1148</v>
      </c>
      <c r="D4" s="3">
        <v>429581</v>
      </c>
      <c r="E4" s="3">
        <v>75606285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1146</v>
      </c>
      <c r="B5" s="2">
        <v>101105</v>
      </c>
      <c r="C5" s="2" t="s">
        <v>1149</v>
      </c>
      <c r="D5" s="3">
        <v>400919</v>
      </c>
      <c r="E5" s="3">
        <v>70561833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1146</v>
      </c>
      <c r="B6" s="2">
        <v>100855</v>
      </c>
      <c r="C6" s="2" t="s">
        <v>1150</v>
      </c>
      <c r="D6" s="3">
        <v>458316</v>
      </c>
      <c r="E6" s="3">
        <v>80663783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289107515</v>
      </c>
    </row>
    <row r="7" spans="1:11" ht="22.5" x14ac:dyDescent="0.6">
      <c r="A7" s="1" t="s">
        <v>1146</v>
      </c>
      <c r="B7" s="2">
        <v>101165</v>
      </c>
      <c r="C7" s="2" t="s">
        <v>1151</v>
      </c>
      <c r="D7" s="3">
        <v>392656</v>
      </c>
      <c r="E7" s="3">
        <v>69107479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348146611</v>
      </c>
    </row>
    <row r="8" spans="1:11" x14ac:dyDescent="0.2">
      <c r="A8" s="1" t="s">
        <v>1146</v>
      </c>
      <c r="B8" s="2">
        <v>610227</v>
      </c>
      <c r="C8" s="2" t="s">
        <v>1152</v>
      </c>
      <c r="D8" s="3">
        <v>447876</v>
      </c>
      <c r="E8" s="3">
        <v>78826190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1146</v>
      </c>
      <c r="B9" s="2">
        <v>101202</v>
      </c>
      <c r="C9" s="2" t="s">
        <v>1153</v>
      </c>
      <c r="D9" s="3">
        <v>390949</v>
      </c>
      <c r="E9" s="3">
        <v>68807053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H10" s="9">
        <f t="shared" ref="H10:I10" si="2">SUM(H3:H9)</f>
        <v>0</v>
      </c>
      <c r="I10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158C-03B6-47A8-B62F-924C08D2D10C}">
  <dimension ref="A1:K25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>
        <v>1668</v>
      </c>
      <c r="B3" s="2">
        <v>100728</v>
      </c>
      <c r="C3" s="2" t="s">
        <v>1154</v>
      </c>
      <c r="D3" s="3">
        <v>447265</v>
      </c>
      <c r="E3" s="3">
        <v>78718780</v>
      </c>
      <c r="F3" s="5"/>
      <c r="G3" s="5"/>
      <c r="H3" s="3">
        <f t="shared" ref="H3:H24" si="0">F3*D3</f>
        <v>0</v>
      </c>
      <c r="I3" s="3">
        <f t="shared" ref="I3:I24" si="1">(G3*E3)/100</f>
        <v>0</v>
      </c>
    </row>
    <row r="4" spans="1:11" x14ac:dyDescent="0.2">
      <c r="A4" s="1">
        <v>1668</v>
      </c>
      <c r="B4" s="2">
        <v>101432</v>
      </c>
      <c r="C4" s="2" t="s">
        <v>1155</v>
      </c>
      <c r="D4" s="3">
        <v>369349</v>
      </c>
      <c r="E4" s="3">
        <v>65005566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>
        <v>1668</v>
      </c>
      <c r="B5" s="2">
        <v>101312</v>
      </c>
      <c r="C5" s="2" t="s">
        <v>1156</v>
      </c>
      <c r="D5" s="3">
        <v>433842</v>
      </c>
      <c r="E5" s="3">
        <v>76356227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>
        <v>1668</v>
      </c>
      <c r="B6" s="2">
        <v>100945</v>
      </c>
      <c r="C6" s="2" t="s">
        <v>1157</v>
      </c>
      <c r="D6" s="3">
        <v>456237</v>
      </c>
      <c r="E6" s="3">
        <v>71661840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980693175</v>
      </c>
    </row>
    <row r="7" spans="1:11" ht="22.5" x14ac:dyDescent="0.6">
      <c r="A7" s="1">
        <v>1668</v>
      </c>
      <c r="B7" s="2">
        <v>100440</v>
      </c>
      <c r="C7" s="2" t="s">
        <v>1158</v>
      </c>
      <c r="D7" s="3">
        <v>514840</v>
      </c>
      <c r="E7" s="3">
        <v>90611893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1111932374</v>
      </c>
    </row>
    <row r="8" spans="1:11" x14ac:dyDescent="0.2">
      <c r="A8" s="1">
        <v>1668</v>
      </c>
      <c r="B8" s="2">
        <v>100387</v>
      </c>
      <c r="C8" s="2" t="s">
        <v>1159</v>
      </c>
      <c r="D8" s="3">
        <v>559039</v>
      </c>
      <c r="E8" s="3">
        <v>98390875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>
        <v>1668</v>
      </c>
      <c r="B9" s="2">
        <v>100346</v>
      </c>
      <c r="C9" s="2" t="s">
        <v>1160</v>
      </c>
      <c r="D9" s="3">
        <v>542713</v>
      </c>
      <c r="E9" s="3">
        <v>95517620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>
        <v>1668</v>
      </c>
      <c r="B10" s="2">
        <v>101123</v>
      </c>
      <c r="C10" s="2" t="s">
        <v>1161</v>
      </c>
      <c r="D10" s="3">
        <v>405974</v>
      </c>
      <c r="E10" s="3">
        <v>71451469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>
        <v>1668</v>
      </c>
      <c r="B11" s="2">
        <v>101391</v>
      </c>
      <c r="C11" s="2" t="s">
        <v>1162</v>
      </c>
      <c r="D11" s="3">
        <v>323884</v>
      </c>
      <c r="E11" s="3">
        <v>57003638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>
        <v>1668</v>
      </c>
      <c r="B12" s="2">
        <v>101548</v>
      </c>
      <c r="C12" s="2" t="s">
        <v>1163</v>
      </c>
      <c r="D12" s="3">
        <v>356052</v>
      </c>
      <c r="E12" s="3">
        <v>62665246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>
        <v>1668</v>
      </c>
      <c r="B13" s="2">
        <v>101775</v>
      </c>
      <c r="C13" s="2" t="s">
        <v>1164</v>
      </c>
      <c r="D13" s="3">
        <v>343599</v>
      </c>
      <c r="E13" s="3">
        <v>60473567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>
        <v>1668</v>
      </c>
      <c r="B14" s="2">
        <v>100503</v>
      </c>
      <c r="C14" s="2" t="s">
        <v>1165</v>
      </c>
      <c r="D14" s="3">
        <v>477320</v>
      </c>
      <c r="E14" s="3">
        <v>84008486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>
        <v>1668</v>
      </c>
      <c r="B15" s="2">
        <v>100544</v>
      </c>
      <c r="C15" s="2" t="s">
        <v>1166</v>
      </c>
      <c r="D15" s="3">
        <v>527897</v>
      </c>
      <c r="E15" s="3">
        <v>92909960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>
        <v>1668</v>
      </c>
      <c r="B16" s="2">
        <v>100810</v>
      </c>
      <c r="C16" s="2" t="s">
        <v>1167</v>
      </c>
      <c r="D16" s="3">
        <v>478203</v>
      </c>
      <c r="E16" s="3">
        <v>84163800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>
        <v>1668</v>
      </c>
      <c r="B17" s="2">
        <v>101005</v>
      </c>
      <c r="C17" s="2" t="s">
        <v>1168</v>
      </c>
      <c r="D17" s="3">
        <v>337755</v>
      </c>
      <c r="E17" s="3">
        <v>59444990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>
        <v>1668</v>
      </c>
      <c r="B18" s="2">
        <v>101790</v>
      </c>
      <c r="C18" s="2" t="s">
        <v>1169</v>
      </c>
      <c r="D18" s="3">
        <v>267104</v>
      </c>
      <c r="E18" s="3">
        <v>47010315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>
        <v>1668</v>
      </c>
      <c r="B19" s="2">
        <v>100486</v>
      </c>
      <c r="C19" s="2" t="s">
        <v>1170</v>
      </c>
      <c r="D19" s="3">
        <v>523781</v>
      </c>
      <c r="E19" s="3">
        <v>92185610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>
        <v>1668</v>
      </c>
      <c r="B20" s="2">
        <v>101403</v>
      </c>
      <c r="C20" s="2" t="s">
        <v>1171</v>
      </c>
      <c r="D20" s="3">
        <v>434144</v>
      </c>
      <c r="E20" s="3">
        <v>76409490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A21" s="1">
        <v>1668</v>
      </c>
      <c r="B21" s="2">
        <v>100374</v>
      </c>
      <c r="C21" s="2" t="s">
        <v>1172</v>
      </c>
      <c r="D21" s="3">
        <v>386024</v>
      </c>
      <c r="E21" s="3">
        <v>67940308</v>
      </c>
      <c r="F21" s="5"/>
      <c r="G21" s="5"/>
      <c r="H21" s="3">
        <f t="shared" si="0"/>
        <v>0</v>
      </c>
      <c r="I21" s="3">
        <f t="shared" si="1"/>
        <v>0</v>
      </c>
    </row>
    <row r="22" spans="1:9" x14ac:dyDescent="0.2">
      <c r="A22" s="1">
        <v>1668</v>
      </c>
      <c r="B22" s="2">
        <v>517565</v>
      </c>
      <c r="C22" s="2" t="s">
        <v>1173</v>
      </c>
      <c r="D22" s="3">
        <v>336495</v>
      </c>
      <c r="E22" s="3">
        <v>59223243</v>
      </c>
      <c r="F22" s="5"/>
      <c r="G22" s="5"/>
      <c r="H22" s="3">
        <f t="shared" si="0"/>
        <v>0</v>
      </c>
      <c r="I22" s="3">
        <f t="shared" si="1"/>
        <v>0</v>
      </c>
    </row>
    <row r="23" spans="1:9" x14ac:dyDescent="0.2">
      <c r="A23" s="1">
        <v>1668</v>
      </c>
      <c r="B23" s="2">
        <v>101569</v>
      </c>
      <c r="C23" s="2" t="s">
        <v>1174</v>
      </c>
      <c r="D23" s="3">
        <v>383829</v>
      </c>
      <c r="E23" s="3">
        <v>67553975</v>
      </c>
      <c r="F23" s="5"/>
      <c r="G23" s="5"/>
      <c r="H23" s="3">
        <f t="shared" si="0"/>
        <v>0</v>
      </c>
      <c r="I23" s="3">
        <f t="shared" si="1"/>
        <v>0</v>
      </c>
    </row>
    <row r="24" spans="1:9" x14ac:dyDescent="0.2">
      <c r="A24" s="1">
        <v>1668</v>
      </c>
      <c r="B24" s="2">
        <v>101349</v>
      </c>
      <c r="C24" s="2" t="s">
        <v>1175</v>
      </c>
      <c r="D24" s="3">
        <v>434589</v>
      </c>
      <c r="E24" s="3">
        <v>76487769</v>
      </c>
      <c r="F24" s="5"/>
      <c r="G24" s="5"/>
      <c r="H24" s="3">
        <f t="shared" si="0"/>
        <v>0</v>
      </c>
      <c r="I24" s="3">
        <f t="shared" si="1"/>
        <v>0</v>
      </c>
    </row>
    <row r="25" spans="1:9" x14ac:dyDescent="0.2">
      <c r="H25" s="9">
        <f t="shared" ref="H25:I25" si="2">SUM(H3:H24)</f>
        <v>0</v>
      </c>
      <c r="I25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8630-2F70-4B9F-9308-EE7BC64907E5}">
  <dimension ref="A1:K7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1176</v>
      </c>
      <c r="B3" s="2">
        <v>101353</v>
      </c>
      <c r="C3" s="2" t="s">
        <v>1177</v>
      </c>
      <c r="D3" s="3">
        <v>369126</v>
      </c>
      <c r="E3" s="3">
        <v>64966217</v>
      </c>
      <c r="F3" s="5"/>
      <c r="G3" s="5"/>
      <c r="H3" s="3">
        <f>F3*D3</f>
        <v>0</v>
      </c>
      <c r="I3" s="3">
        <f>(G3*E3)/100</f>
        <v>0</v>
      </c>
    </row>
    <row r="4" spans="1:11" x14ac:dyDescent="0.2">
      <c r="A4" s="1" t="s">
        <v>1176</v>
      </c>
      <c r="B4" s="2">
        <v>100934</v>
      </c>
      <c r="C4" s="2" t="s">
        <v>1178</v>
      </c>
      <c r="D4" s="3">
        <v>369336</v>
      </c>
      <c r="E4" s="3">
        <v>65003169</v>
      </c>
      <c r="F4" s="5"/>
      <c r="G4" s="5"/>
      <c r="H4" s="3">
        <f>F4*D4</f>
        <v>0</v>
      </c>
      <c r="I4" s="3">
        <f>(G4*E4)/100</f>
        <v>0</v>
      </c>
    </row>
    <row r="5" spans="1:11" x14ac:dyDescent="0.2">
      <c r="A5" s="1" t="s">
        <v>1176</v>
      </c>
      <c r="B5" s="2">
        <v>100679</v>
      </c>
      <c r="C5" s="2" t="s">
        <v>1179</v>
      </c>
      <c r="D5" s="3">
        <v>476968</v>
      </c>
      <c r="E5" s="3">
        <v>83946436</v>
      </c>
      <c r="F5" s="5"/>
      <c r="G5" s="5"/>
      <c r="H5" s="3">
        <f>F5*D5</f>
        <v>0</v>
      </c>
      <c r="I5" s="3">
        <f>(G5*E5)/100</f>
        <v>0</v>
      </c>
    </row>
    <row r="6" spans="1:11" ht="22.5" x14ac:dyDescent="0.6">
      <c r="H6" s="9">
        <f t="shared" ref="H6:I6" si="0">SUM(H3:H5)</f>
        <v>0</v>
      </c>
      <c r="I6" s="9">
        <f t="shared" si="0"/>
        <v>0</v>
      </c>
      <c r="J6" s="8" t="s">
        <v>1246</v>
      </c>
      <c r="K6" s="11">
        <v>121543000</v>
      </c>
    </row>
    <row r="7" spans="1:11" ht="22.5" x14ac:dyDescent="0.6">
      <c r="J7" s="8" t="s">
        <v>1247</v>
      </c>
      <c r="K7" s="11">
        <v>139045284</v>
      </c>
    </row>
  </sheetData>
  <mergeCells count="1">
    <mergeCell ref="A1:I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7D653-0175-48FC-A9C8-F342A1E5E0A2}">
  <dimension ref="A1:K27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>
        <v>1608</v>
      </c>
      <c r="B3" s="2">
        <v>100365</v>
      </c>
      <c r="C3" s="2" t="s">
        <v>1180</v>
      </c>
      <c r="D3" s="3">
        <v>524056</v>
      </c>
      <c r="E3" s="3">
        <v>92233900</v>
      </c>
      <c r="F3" s="5"/>
      <c r="G3" s="5"/>
      <c r="H3" s="3">
        <f t="shared" ref="H3:H26" si="0">F3*D3</f>
        <v>0</v>
      </c>
      <c r="I3" s="3">
        <f t="shared" ref="I3:I26" si="1">(G3*E3)/100</f>
        <v>0</v>
      </c>
    </row>
    <row r="4" spans="1:11" x14ac:dyDescent="0.2">
      <c r="A4" s="1">
        <v>1608</v>
      </c>
      <c r="B4" s="2">
        <v>100879</v>
      </c>
      <c r="C4" s="2" t="s">
        <v>1181</v>
      </c>
      <c r="D4" s="3">
        <v>457039</v>
      </c>
      <c r="E4" s="3">
        <v>80438922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>
        <v>1608</v>
      </c>
      <c r="B5" s="2">
        <v>101354</v>
      </c>
      <c r="C5" s="2" t="s">
        <v>1182</v>
      </c>
      <c r="D5" s="3">
        <v>431491</v>
      </c>
      <c r="E5" s="3">
        <v>75942475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>
        <v>1608</v>
      </c>
      <c r="B6" s="2">
        <v>100854</v>
      </c>
      <c r="C6" s="2" t="s">
        <v>1183</v>
      </c>
      <c r="D6" s="3">
        <v>483093</v>
      </c>
      <c r="E6" s="3">
        <v>85024475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1009574100</v>
      </c>
    </row>
    <row r="7" spans="1:11" ht="22.5" x14ac:dyDescent="0.6">
      <c r="A7" s="1">
        <v>1608</v>
      </c>
      <c r="B7" s="2">
        <v>101942</v>
      </c>
      <c r="C7" s="2" t="s">
        <v>1184</v>
      </c>
      <c r="D7" s="3">
        <v>255168</v>
      </c>
      <c r="E7" s="3">
        <v>44909700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1154953993</v>
      </c>
    </row>
    <row r="8" spans="1:11" x14ac:dyDescent="0.2">
      <c r="A8" s="1">
        <v>1608</v>
      </c>
      <c r="B8" s="2">
        <v>101450</v>
      </c>
      <c r="C8" s="2" t="s">
        <v>1185</v>
      </c>
      <c r="D8" s="3">
        <v>399933</v>
      </c>
      <c r="E8" s="3">
        <v>70388228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>
        <v>1608</v>
      </c>
      <c r="B9" s="2">
        <v>100220</v>
      </c>
      <c r="C9" s="2" t="s">
        <v>1186</v>
      </c>
      <c r="D9" s="3">
        <v>526251</v>
      </c>
      <c r="E9" s="3">
        <v>92620220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>
        <v>1608</v>
      </c>
      <c r="B10" s="2">
        <v>101922</v>
      </c>
      <c r="C10" s="2" t="s">
        <v>1187</v>
      </c>
      <c r="D10" s="3">
        <v>226359</v>
      </c>
      <c r="E10" s="3">
        <v>39839250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>
        <v>1608</v>
      </c>
      <c r="B11" s="2">
        <v>101915</v>
      </c>
      <c r="C11" s="2" t="s">
        <v>1188</v>
      </c>
      <c r="D11" s="3">
        <v>226359</v>
      </c>
      <c r="E11" s="3">
        <v>39839250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>
        <v>1608</v>
      </c>
      <c r="B12" s="2">
        <v>100883</v>
      </c>
      <c r="C12" s="2" t="s">
        <v>1189</v>
      </c>
      <c r="D12" s="3">
        <v>455090</v>
      </c>
      <c r="E12" s="3">
        <v>80095978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>
        <v>1608</v>
      </c>
      <c r="B13" s="2">
        <v>100866</v>
      </c>
      <c r="C13" s="2" t="s">
        <v>1190</v>
      </c>
      <c r="D13" s="3">
        <v>484130</v>
      </c>
      <c r="E13" s="3">
        <v>85206972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A14" s="1">
        <v>1608</v>
      </c>
      <c r="B14" s="2">
        <v>101968</v>
      </c>
      <c r="C14" s="2" t="s">
        <v>1191</v>
      </c>
      <c r="D14" s="3">
        <v>255168</v>
      </c>
      <c r="E14" s="3">
        <v>44909700</v>
      </c>
      <c r="F14" s="5"/>
      <c r="G14" s="5"/>
      <c r="H14" s="3">
        <f t="shared" si="0"/>
        <v>0</v>
      </c>
      <c r="I14" s="3">
        <f t="shared" si="1"/>
        <v>0</v>
      </c>
    </row>
    <row r="15" spans="1:11" x14ac:dyDescent="0.2">
      <c r="A15" s="1">
        <v>1608</v>
      </c>
      <c r="B15" s="2">
        <v>100581</v>
      </c>
      <c r="C15" s="2" t="s">
        <v>1192</v>
      </c>
      <c r="D15" s="3">
        <v>456551</v>
      </c>
      <c r="E15" s="3">
        <v>80352992</v>
      </c>
      <c r="F15" s="5"/>
      <c r="G15" s="5"/>
      <c r="H15" s="3">
        <f t="shared" si="0"/>
        <v>0</v>
      </c>
      <c r="I15" s="3">
        <f t="shared" si="1"/>
        <v>0</v>
      </c>
    </row>
    <row r="16" spans="1:11" x14ac:dyDescent="0.2">
      <c r="A16" s="1">
        <v>1608</v>
      </c>
      <c r="B16" s="2">
        <v>101107</v>
      </c>
      <c r="C16" s="2" t="s">
        <v>1193</v>
      </c>
      <c r="D16" s="3">
        <v>454271</v>
      </c>
      <c r="E16" s="3">
        <v>79951717</v>
      </c>
      <c r="F16" s="5"/>
      <c r="G16" s="5"/>
      <c r="H16" s="3">
        <f t="shared" si="0"/>
        <v>0</v>
      </c>
      <c r="I16" s="3">
        <f t="shared" si="1"/>
        <v>0</v>
      </c>
    </row>
    <row r="17" spans="1:9" x14ac:dyDescent="0.2">
      <c r="A17" s="1">
        <v>1608</v>
      </c>
      <c r="B17" s="2">
        <v>100538</v>
      </c>
      <c r="C17" s="2" t="s">
        <v>1194</v>
      </c>
      <c r="D17" s="3">
        <v>526602</v>
      </c>
      <c r="E17" s="3">
        <v>92681956</v>
      </c>
      <c r="F17" s="5"/>
      <c r="G17" s="5"/>
      <c r="H17" s="3">
        <f t="shared" si="0"/>
        <v>0</v>
      </c>
      <c r="I17" s="3">
        <f t="shared" si="1"/>
        <v>0</v>
      </c>
    </row>
    <row r="18" spans="1:9" x14ac:dyDescent="0.2">
      <c r="A18" s="1">
        <v>1608</v>
      </c>
      <c r="B18" s="2">
        <v>101550</v>
      </c>
      <c r="C18" s="2" t="s">
        <v>29</v>
      </c>
      <c r="D18" s="3">
        <v>387646</v>
      </c>
      <c r="E18" s="3">
        <v>68225720</v>
      </c>
      <c r="F18" s="5"/>
      <c r="G18" s="5"/>
      <c r="H18" s="3">
        <f t="shared" si="0"/>
        <v>0</v>
      </c>
      <c r="I18" s="3">
        <f t="shared" si="1"/>
        <v>0</v>
      </c>
    </row>
    <row r="19" spans="1:9" x14ac:dyDescent="0.2">
      <c r="A19" s="1">
        <v>1608</v>
      </c>
      <c r="B19" s="2">
        <v>101527</v>
      </c>
      <c r="C19" s="2" t="s">
        <v>1195</v>
      </c>
      <c r="D19" s="3">
        <v>373196</v>
      </c>
      <c r="E19" s="3">
        <v>65682618</v>
      </c>
      <c r="F19" s="5"/>
      <c r="G19" s="5"/>
      <c r="H19" s="3">
        <f t="shared" si="0"/>
        <v>0</v>
      </c>
      <c r="I19" s="3">
        <f t="shared" si="1"/>
        <v>0</v>
      </c>
    </row>
    <row r="20" spans="1:9" x14ac:dyDescent="0.2">
      <c r="A20" s="1">
        <v>1608</v>
      </c>
      <c r="B20" s="2">
        <v>100283</v>
      </c>
      <c r="C20" s="2" t="s">
        <v>1196</v>
      </c>
      <c r="D20" s="3">
        <v>526224</v>
      </c>
      <c r="E20" s="3">
        <v>92615558</v>
      </c>
      <c r="F20" s="5"/>
      <c r="G20" s="5"/>
      <c r="H20" s="3">
        <f t="shared" si="0"/>
        <v>0</v>
      </c>
      <c r="I20" s="3">
        <f t="shared" si="1"/>
        <v>0</v>
      </c>
    </row>
    <row r="21" spans="1:9" x14ac:dyDescent="0.2">
      <c r="A21" s="1">
        <v>1608</v>
      </c>
      <c r="B21" s="2">
        <v>101788</v>
      </c>
      <c r="C21" s="2" t="s">
        <v>1197</v>
      </c>
      <c r="D21" s="3">
        <v>281234</v>
      </c>
      <c r="E21" s="3">
        <v>49497250</v>
      </c>
      <c r="F21" s="5"/>
      <c r="G21" s="5"/>
      <c r="H21" s="3">
        <f t="shared" si="0"/>
        <v>0</v>
      </c>
      <c r="I21" s="3">
        <f t="shared" si="1"/>
        <v>0</v>
      </c>
    </row>
    <row r="22" spans="1:9" x14ac:dyDescent="0.2">
      <c r="A22" s="1">
        <v>1608</v>
      </c>
      <c r="B22" s="2">
        <v>100279</v>
      </c>
      <c r="C22" s="2" t="s">
        <v>1198</v>
      </c>
      <c r="D22" s="3">
        <v>499987</v>
      </c>
      <c r="E22" s="3">
        <v>87997826</v>
      </c>
      <c r="F22" s="5"/>
      <c r="G22" s="5"/>
      <c r="H22" s="3">
        <f t="shared" si="0"/>
        <v>0</v>
      </c>
      <c r="I22" s="3">
        <f t="shared" si="1"/>
        <v>0</v>
      </c>
    </row>
    <row r="23" spans="1:9" x14ac:dyDescent="0.2">
      <c r="A23" s="1">
        <v>1608</v>
      </c>
      <c r="B23" s="2">
        <v>101152</v>
      </c>
      <c r="C23" s="2" t="s">
        <v>1199</v>
      </c>
      <c r="D23" s="3">
        <v>441836</v>
      </c>
      <c r="E23" s="3">
        <v>77763247</v>
      </c>
      <c r="F23" s="5"/>
      <c r="G23" s="5"/>
      <c r="H23" s="3">
        <f t="shared" si="0"/>
        <v>0</v>
      </c>
      <c r="I23" s="3">
        <f t="shared" si="1"/>
        <v>0</v>
      </c>
    </row>
    <row r="24" spans="1:9" x14ac:dyDescent="0.2">
      <c r="A24" s="1">
        <v>1608</v>
      </c>
      <c r="B24" s="2">
        <v>101541</v>
      </c>
      <c r="C24" s="2" t="s">
        <v>1200</v>
      </c>
      <c r="D24" s="3">
        <v>428255</v>
      </c>
      <c r="E24" s="3">
        <v>75372987</v>
      </c>
      <c r="F24" s="5"/>
      <c r="G24" s="5"/>
      <c r="H24" s="3">
        <f t="shared" si="0"/>
        <v>0</v>
      </c>
      <c r="I24" s="3">
        <f t="shared" si="1"/>
        <v>0</v>
      </c>
    </row>
    <row r="25" spans="1:9" x14ac:dyDescent="0.2">
      <c r="A25" s="1">
        <v>1608</v>
      </c>
      <c r="B25" s="2">
        <v>100894</v>
      </c>
      <c r="C25" s="2" t="s">
        <v>1201</v>
      </c>
      <c r="D25" s="3">
        <v>457342</v>
      </c>
      <c r="E25" s="3">
        <v>80492231</v>
      </c>
      <c r="F25" s="5"/>
      <c r="G25" s="5"/>
      <c r="H25" s="3">
        <f t="shared" si="0"/>
        <v>0</v>
      </c>
      <c r="I25" s="3">
        <f t="shared" si="1"/>
        <v>0</v>
      </c>
    </row>
    <row r="26" spans="1:9" x14ac:dyDescent="0.2">
      <c r="A26" s="1">
        <v>1608</v>
      </c>
      <c r="B26" s="2">
        <v>100100</v>
      </c>
      <c r="C26" s="2" t="s">
        <v>1202</v>
      </c>
      <c r="D26" s="3">
        <v>538460</v>
      </c>
      <c r="E26" s="3">
        <v>94769125</v>
      </c>
      <c r="F26" s="5"/>
      <c r="G26" s="5"/>
      <c r="H26" s="3">
        <f t="shared" si="0"/>
        <v>0</v>
      </c>
      <c r="I26" s="3">
        <f t="shared" si="1"/>
        <v>0</v>
      </c>
    </row>
    <row r="27" spans="1:9" x14ac:dyDescent="0.2">
      <c r="H27" s="9">
        <f t="shared" ref="H27:I27" si="2">SUM(H3:H26)</f>
        <v>0</v>
      </c>
      <c r="I27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495A-799E-494D-B759-5193B63546A6}">
  <dimension ref="A1:K10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1203</v>
      </c>
      <c r="B3" s="2">
        <v>100234</v>
      </c>
      <c r="C3" s="2" t="s">
        <v>1204</v>
      </c>
      <c r="D3" s="3">
        <v>513960</v>
      </c>
      <c r="E3" s="3">
        <v>90456995</v>
      </c>
      <c r="F3" s="5"/>
      <c r="G3" s="5"/>
      <c r="H3" s="3">
        <f t="shared" ref="H3:H9" si="0">F3*D3</f>
        <v>0</v>
      </c>
      <c r="I3" s="3">
        <f t="shared" ref="I3:I9" si="1">(G3*E3)/100</f>
        <v>0</v>
      </c>
    </row>
    <row r="4" spans="1:11" x14ac:dyDescent="0.2">
      <c r="A4" s="1" t="s">
        <v>1203</v>
      </c>
      <c r="B4" s="2">
        <v>101463</v>
      </c>
      <c r="C4" s="2" t="s">
        <v>1205</v>
      </c>
      <c r="D4" s="3">
        <v>355402</v>
      </c>
      <c r="E4" s="3">
        <v>62550892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1203</v>
      </c>
      <c r="B5" s="2">
        <v>100349</v>
      </c>
      <c r="C5" s="2" t="s">
        <v>1206</v>
      </c>
      <c r="D5" s="3">
        <v>442131</v>
      </c>
      <c r="E5" s="3">
        <v>77815066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1203</v>
      </c>
      <c r="B6" s="2">
        <v>101092</v>
      </c>
      <c r="C6" s="2" t="s">
        <v>1207</v>
      </c>
      <c r="D6" s="3">
        <v>442169</v>
      </c>
      <c r="E6" s="3">
        <v>77821745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282346555</v>
      </c>
    </row>
    <row r="7" spans="1:11" ht="22.5" x14ac:dyDescent="0.6">
      <c r="A7" s="1" t="s">
        <v>1203</v>
      </c>
      <c r="B7" s="2">
        <v>101410</v>
      </c>
      <c r="C7" s="2" t="s">
        <v>1208</v>
      </c>
      <c r="D7" s="3">
        <v>361664</v>
      </c>
      <c r="E7" s="3">
        <v>63652932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340004947</v>
      </c>
    </row>
    <row r="8" spans="1:11" x14ac:dyDescent="0.2">
      <c r="A8" s="1" t="s">
        <v>1203</v>
      </c>
      <c r="B8" s="2">
        <v>100548</v>
      </c>
      <c r="C8" s="2" t="s">
        <v>1209</v>
      </c>
      <c r="D8" s="3">
        <v>466858</v>
      </c>
      <c r="E8" s="3">
        <v>82167082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1203</v>
      </c>
      <c r="B9" s="2">
        <v>101291</v>
      </c>
      <c r="C9" s="2" t="s">
        <v>1210</v>
      </c>
      <c r="D9" s="3">
        <v>389885</v>
      </c>
      <c r="E9" s="3">
        <v>68619822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H10" s="9">
        <f t="shared" ref="H10:I10" si="2">SUM(H3:H9)</f>
        <v>0</v>
      </c>
      <c r="I10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97447-9F2E-49A6-B869-48991E1FBE53}">
  <dimension ref="A1:K14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>
        <v>1612</v>
      </c>
      <c r="B3" s="2">
        <v>100873</v>
      </c>
      <c r="C3" s="2" t="s">
        <v>1211</v>
      </c>
      <c r="D3" s="3">
        <v>467240</v>
      </c>
      <c r="E3" s="3">
        <v>82234390</v>
      </c>
      <c r="F3" s="5"/>
      <c r="G3" s="5"/>
      <c r="H3" s="3">
        <f t="shared" ref="H3:H13" si="0">F3*D3</f>
        <v>0</v>
      </c>
      <c r="I3" s="3">
        <f t="shared" ref="I3:I13" si="1">(G3*E3)/100</f>
        <v>0</v>
      </c>
    </row>
    <row r="4" spans="1:11" x14ac:dyDescent="0.2">
      <c r="A4" s="1">
        <v>1612</v>
      </c>
      <c r="B4" s="2">
        <v>100956</v>
      </c>
      <c r="C4" s="2" t="s">
        <v>1212</v>
      </c>
      <c r="D4" s="3">
        <v>290563</v>
      </c>
      <c r="E4" s="3">
        <v>51139110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>
        <v>1612</v>
      </c>
      <c r="B5" s="2">
        <v>100554</v>
      </c>
      <c r="C5" s="2" t="s">
        <v>1213</v>
      </c>
      <c r="D5" s="3">
        <v>470550</v>
      </c>
      <c r="E5" s="3">
        <v>82816918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>
        <v>1612</v>
      </c>
      <c r="B6" s="2">
        <v>101551</v>
      </c>
      <c r="C6" s="2" t="s">
        <v>1214</v>
      </c>
      <c r="D6" s="3">
        <v>452390</v>
      </c>
      <c r="E6" s="3">
        <v>79620719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445958460</v>
      </c>
    </row>
    <row r="7" spans="1:11" ht="22.5" x14ac:dyDescent="0.6">
      <c r="A7" s="1">
        <v>1612</v>
      </c>
      <c r="B7" s="2">
        <v>100301</v>
      </c>
      <c r="C7" s="2" t="s">
        <v>1215</v>
      </c>
      <c r="D7" s="3">
        <v>497998</v>
      </c>
      <c r="E7" s="3">
        <v>87647676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549421433</v>
      </c>
    </row>
    <row r="8" spans="1:11" x14ac:dyDescent="0.2">
      <c r="A8" s="1">
        <v>1612</v>
      </c>
      <c r="B8" s="2">
        <v>101051</v>
      </c>
      <c r="C8" s="2" t="s">
        <v>1216</v>
      </c>
      <c r="D8" s="3">
        <v>292758</v>
      </c>
      <c r="E8" s="3">
        <v>51525430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>
        <v>1612</v>
      </c>
      <c r="B9" s="2">
        <v>101101</v>
      </c>
      <c r="C9" s="2" t="s">
        <v>1217</v>
      </c>
      <c r="D9" s="3">
        <v>465193</v>
      </c>
      <c r="E9" s="3">
        <v>81874127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A10" s="1">
        <v>1612</v>
      </c>
      <c r="B10" s="2">
        <v>100577</v>
      </c>
      <c r="C10" s="2" t="s">
        <v>1218</v>
      </c>
      <c r="D10" s="3">
        <v>495365</v>
      </c>
      <c r="E10" s="3">
        <v>87184318</v>
      </c>
      <c r="F10" s="5"/>
      <c r="G10" s="5"/>
      <c r="H10" s="3">
        <f t="shared" si="0"/>
        <v>0</v>
      </c>
      <c r="I10" s="3">
        <f t="shared" si="1"/>
        <v>0</v>
      </c>
    </row>
    <row r="11" spans="1:11" x14ac:dyDescent="0.2">
      <c r="A11" s="1">
        <v>1612</v>
      </c>
      <c r="B11" s="2">
        <v>100326</v>
      </c>
      <c r="C11" s="2" t="s">
        <v>1219</v>
      </c>
      <c r="D11" s="3">
        <v>499856</v>
      </c>
      <c r="E11" s="3">
        <v>87974722</v>
      </c>
      <c r="F11" s="5"/>
      <c r="G11" s="5"/>
      <c r="H11" s="3">
        <f t="shared" si="0"/>
        <v>0</v>
      </c>
      <c r="I11" s="3">
        <f t="shared" si="1"/>
        <v>0</v>
      </c>
    </row>
    <row r="12" spans="1:11" x14ac:dyDescent="0.2">
      <c r="A12" s="1">
        <v>1612</v>
      </c>
      <c r="B12" s="2">
        <v>100294</v>
      </c>
      <c r="C12" s="2" t="s">
        <v>1220</v>
      </c>
      <c r="D12" s="3">
        <v>511712</v>
      </c>
      <c r="E12" s="3">
        <v>90061387</v>
      </c>
      <c r="F12" s="5"/>
      <c r="G12" s="5"/>
      <c r="H12" s="3">
        <f t="shared" si="0"/>
        <v>0</v>
      </c>
      <c r="I12" s="3">
        <f t="shared" si="1"/>
        <v>0</v>
      </c>
    </row>
    <row r="13" spans="1:11" x14ac:dyDescent="0.2">
      <c r="A13" s="1">
        <v>1612</v>
      </c>
      <c r="B13" s="2">
        <v>100590</v>
      </c>
      <c r="C13" s="2" t="s">
        <v>1221</v>
      </c>
      <c r="D13" s="3">
        <v>511469</v>
      </c>
      <c r="E13" s="3">
        <v>90018715</v>
      </c>
      <c r="F13" s="5"/>
      <c r="G13" s="5"/>
      <c r="H13" s="3">
        <f t="shared" si="0"/>
        <v>0</v>
      </c>
      <c r="I13" s="3">
        <f t="shared" si="1"/>
        <v>0</v>
      </c>
    </row>
    <row r="14" spans="1:11" x14ac:dyDescent="0.2">
      <c r="H14" s="9">
        <f t="shared" ref="H14:I14" si="2">SUM(H3:H13)</f>
        <v>0</v>
      </c>
      <c r="I14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2C082-E2F9-4652-AB46-20536C26E49F}">
  <dimension ref="A1:K7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1222</v>
      </c>
      <c r="B3" s="2">
        <v>101212</v>
      </c>
      <c r="C3" s="2" t="s">
        <v>1223</v>
      </c>
      <c r="D3" s="3">
        <v>427915</v>
      </c>
      <c r="E3" s="3">
        <v>75313163</v>
      </c>
      <c r="F3" s="5"/>
      <c r="G3" s="5"/>
      <c r="H3" s="3">
        <f>F3*D3</f>
        <v>0</v>
      </c>
      <c r="I3" s="3">
        <f>(G3*E3)/100</f>
        <v>0</v>
      </c>
    </row>
    <row r="4" spans="1:11" x14ac:dyDescent="0.2">
      <c r="A4" s="1" t="s">
        <v>1222</v>
      </c>
      <c r="B4" s="2">
        <v>101434</v>
      </c>
      <c r="C4" s="2" t="s">
        <v>1224</v>
      </c>
      <c r="D4" s="3">
        <v>382155</v>
      </c>
      <c r="E4" s="3">
        <v>67259442</v>
      </c>
      <c r="F4" s="5"/>
      <c r="G4" s="5"/>
      <c r="H4" s="3">
        <f>F4*D4</f>
        <v>0</v>
      </c>
      <c r="I4" s="3">
        <f>(G4*E4)/100</f>
        <v>0</v>
      </c>
    </row>
    <row r="5" spans="1:11" x14ac:dyDescent="0.2">
      <c r="A5" s="1" t="s">
        <v>1222</v>
      </c>
      <c r="B5" s="2">
        <v>101549</v>
      </c>
      <c r="C5" s="2" t="s">
        <v>1225</v>
      </c>
      <c r="D5" s="3">
        <v>384954</v>
      </c>
      <c r="E5" s="3">
        <v>67751964</v>
      </c>
      <c r="F5" s="5"/>
      <c r="G5" s="5"/>
      <c r="H5" s="3">
        <f>F5*D5</f>
        <v>0</v>
      </c>
      <c r="I5" s="3">
        <f>(G5*E5)/100</f>
        <v>0</v>
      </c>
    </row>
    <row r="6" spans="1:11" ht="22.5" x14ac:dyDescent="0.6">
      <c r="A6" s="1" t="s">
        <v>1222</v>
      </c>
      <c r="B6" s="2">
        <v>101280</v>
      </c>
      <c r="C6" s="2" t="s">
        <v>1226</v>
      </c>
      <c r="D6" s="3">
        <v>426656</v>
      </c>
      <c r="E6" s="3">
        <v>75091543</v>
      </c>
      <c r="F6" s="5"/>
      <c r="G6" s="5"/>
      <c r="H6" s="3">
        <f>F6*D6</f>
        <v>0</v>
      </c>
      <c r="I6" s="6">
        <f>(G6*E6)/100</f>
        <v>0</v>
      </c>
      <c r="J6" s="8" t="s">
        <v>1246</v>
      </c>
      <c r="K6" s="11">
        <v>154059600</v>
      </c>
    </row>
    <row r="7" spans="1:11" ht="22.5" x14ac:dyDescent="0.6">
      <c r="H7" s="9">
        <f t="shared" ref="H7:I7" si="0">SUM(H3:H6)</f>
        <v>0</v>
      </c>
      <c r="I7" s="9">
        <f t="shared" si="0"/>
        <v>0</v>
      </c>
      <c r="J7" s="8" t="s">
        <v>1247</v>
      </c>
      <c r="K7" s="11">
        <v>185520473</v>
      </c>
    </row>
  </sheetData>
  <mergeCells count="1">
    <mergeCell ref="A1:I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17B4B-BC62-4B7A-91CC-F1463FCE1204}">
  <dimension ref="A1:K9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1227</v>
      </c>
      <c r="B3" s="2">
        <v>100942</v>
      </c>
      <c r="C3" s="2" t="s">
        <v>1228</v>
      </c>
      <c r="D3" s="3">
        <v>405004</v>
      </c>
      <c r="E3" s="3">
        <v>71280869</v>
      </c>
      <c r="F3" s="5"/>
      <c r="G3" s="5"/>
      <c r="H3" s="3">
        <f t="shared" ref="H3:H8" si="0">F3*D3</f>
        <v>0</v>
      </c>
      <c r="I3" s="3">
        <f t="shared" ref="I3:I8" si="1">(G3*E3)/100</f>
        <v>0</v>
      </c>
    </row>
    <row r="4" spans="1:11" x14ac:dyDescent="0.2">
      <c r="A4" s="1" t="s">
        <v>1227</v>
      </c>
      <c r="B4" s="2">
        <v>101081</v>
      </c>
      <c r="C4" s="2" t="s">
        <v>1229</v>
      </c>
      <c r="D4" s="3">
        <v>492935</v>
      </c>
      <c r="E4" s="3">
        <v>86756688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1227</v>
      </c>
      <c r="B5" s="2">
        <v>101147</v>
      </c>
      <c r="C5" s="2" t="s">
        <v>1230</v>
      </c>
      <c r="D5" s="3">
        <v>442918</v>
      </c>
      <c r="E5" s="3">
        <v>77953634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1227</v>
      </c>
      <c r="B6" s="2">
        <v>100747</v>
      </c>
      <c r="C6" s="2" t="s">
        <v>1231</v>
      </c>
      <c r="D6" s="3">
        <v>517465</v>
      </c>
      <c r="E6" s="3">
        <v>91073981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250622920</v>
      </c>
    </row>
    <row r="7" spans="1:11" ht="22.5" x14ac:dyDescent="0.6">
      <c r="A7" s="1" t="s">
        <v>1227</v>
      </c>
      <c r="B7" s="2">
        <v>101245</v>
      </c>
      <c r="C7" s="2" t="s">
        <v>1232</v>
      </c>
      <c r="D7" s="3">
        <v>398477</v>
      </c>
      <c r="E7" s="3">
        <v>70132016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301803133</v>
      </c>
    </row>
    <row r="8" spans="1:11" x14ac:dyDescent="0.2">
      <c r="A8" s="1" t="s">
        <v>1227</v>
      </c>
      <c r="B8" s="2">
        <v>101327</v>
      </c>
      <c r="C8" s="2" t="s">
        <v>1233</v>
      </c>
      <c r="D8" s="3">
        <v>381337</v>
      </c>
      <c r="E8" s="3">
        <v>67115325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H9" s="9">
        <f t="shared" ref="H9:I9" si="2">SUM(H3:H8)</f>
        <v>0</v>
      </c>
      <c r="I9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2F8C6-59C5-473A-8319-2872994AA1E8}">
  <dimension ref="A1:K10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1234</v>
      </c>
      <c r="B3" s="2">
        <v>101127</v>
      </c>
      <c r="C3" s="2" t="s">
        <v>1235</v>
      </c>
      <c r="D3" s="3">
        <v>429708</v>
      </c>
      <c r="E3" s="3">
        <v>75628698</v>
      </c>
      <c r="F3" s="5"/>
      <c r="G3" s="5"/>
      <c r="H3" s="3">
        <f t="shared" ref="H3:H9" si="0">F3*D3</f>
        <v>0</v>
      </c>
      <c r="I3" s="3">
        <f t="shared" ref="I3:I9" si="1">(G3*E3)/100</f>
        <v>0</v>
      </c>
    </row>
    <row r="4" spans="1:11" x14ac:dyDescent="0.2">
      <c r="A4" s="1" t="s">
        <v>1234</v>
      </c>
      <c r="B4" s="2">
        <v>101892</v>
      </c>
      <c r="C4" s="2" t="s">
        <v>1236</v>
      </c>
      <c r="D4" s="3">
        <v>218128</v>
      </c>
      <c r="E4" s="3">
        <v>38390550</v>
      </c>
      <c r="F4" s="5"/>
      <c r="G4" s="5"/>
      <c r="H4" s="3">
        <f t="shared" si="0"/>
        <v>0</v>
      </c>
      <c r="I4" s="3">
        <f t="shared" si="1"/>
        <v>0</v>
      </c>
    </row>
    <row r="5" spans="1:11" x14ac:dyDescent="0.2">
      <c r="A5" s="1" t="s">
        <v>1234</v>
      </c>
      <c r="B5" s="2">
        <v>101926</v>
      </c>
      <c r="C5" s="2" t="s">
        <v>1237</v>
      </c>
      <c r="D5" s="3">
        <v>218128</v>
      </c>
      <c r="E5" s="3">
        <v>38390550</v>
      </c>
      <c r="F5" s="5"/>
      <c r="G5" s="5"/>
      <c r="H5" s="3">
        <f t="shared" si="0"/>
        <v>0</v>
      </c>
      <c r="I5" s="3">
        <f t="shared" si="1"/>
        <v>0</v>
      </c>
    </row>
    <row r="6" spans="1:11" ht="22.5" x14ac:dyDescent="0.6">
      <c r="A6" s="1" t="s">
        <v>1234</v>
      </c>
      <c r="B6" s="2">
        <v>100358</v>
      </c>
      <c r="C6" s="2" t="s">
        <v>1238</v>
      </c>
      <c r="D6" s="3">
        <v>334514</v>
      </c>
      <c r="E6" s="3">
        <v>58874481</v>
      </c>
      <c r="F6" s="5"/>
      <c r="G6" s="5"/>
      <c r="H6" s="3">
        <f t="shared" si="0"/>
        <v>0</v>
      </c>
      <c r="I6" s="6">
        <f t="shared" si="1"/>
        <v>0</v>
      </c>
      <c r="J6" s="8" t="s">
        <v>1246</v>
      </c>
      <c r="K6" s="11">
        <v>203859400</v>
      </c>
    </row>
    <row r="7" spans="1:11" ht="22.5" x14ac:dyDescent="0.6">
      <c r="A7" s="1" t="s">
        <v>1234</v>
      </c>
      <c r="B7" s="2">
        <v>101306</v>
      </c>
      <c r="C7" s="2" t="s">
        <v>1239</v>
      </c>
      <c r="D7" s="3">
        <v>394864</v>
      </c>
      <c r="E7" s="3">
        <v>69496130</v>
      </c>
      <c r="F7" s="5"/>
      <c r="G7" s="5"/>
      <c r="H7" s="3">
        <f t="shared" si="0"/>
        <v>0</v>
      </c>
      <c r="I7" s="6">
        <f t="shared" si="1"/>
        <v>0</v>
      </c>
      <c r="J7" s="8" t="s">
        <v>1247</v>
      </c>
      <c r="K7" s="11">
        <v>233215388</v>
      </c>
    </row>
    <row r="8" spans="1:11" x14ac:dyDescent="0.2">
      <c r="A8" s="1" t="s">
        <v>1234</v>
      </c>
      <c r="B8" s="2">
        <v>100996</v>
      </c>
      <c r="C8" s="2" t="s">
        <v>1240</v>
      </c>
      <c r="D8" s="3">
        <v>223149</v>
      </c>
      <c r="E8" s="3">
        <v>39274257</v>
      </c>
      <c r="F8" s="5"/>
      <c r="G8" s="5"/>
      <c r="H8" s="3">
        <f t="shared" si="0"/>
        <v>0</v>
      </c>
      <c r="I8" s="3">
        <f t="shared" si="1"/>
        <v>0</v>
      </c>
    </row>
    <row r="9" spans="1:11" x14ac:dyDescent="0.2">
      <c r="A9" s="1" t="s">
        <v>1234</v>
      </c>
      <c r="B9" s="2">
        <v>101063</v>
      </c>
      <c r="C9" s="2" t="s">
        <v>1241</v>
      </c>
      <c r="D9" s="3">
        <v>220103</v>
      </c>
      <c r="E9" s="3">
        <v>38738238</v>
      </c>
      <c r="F9" s="5"/>
      <c r="G9" s="5"/>
      <c r="H9" s="3">
        <f t="shared" si="0"/>
        <v>0</v>
      </c>
      <c r="I9" s="3">
        <f t="shared" si="1"/>
        <v>0</v>
      </c>
    </row>
    <row r="10" spans="1:11" x14ac:dyDescent="0.2">
      <c r="H10" s="9">
        <f t="shared" ref="H10:I10" si="2">SUM(H3:H9)</f>
        <v>0</v>
      </c>
      <c r="I10" s="9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E5F4B-81FF-4F7A-B55B-FD02204C12F5}">
  <dimension ref="A1:K7"/>
  <sheetViews>
    <sheetView rightToLeft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9" customWidth="1"/>
  </cols>
  <sheetData>
    <row r="1" spans="1:11" ht="76.5" customHeight="1" x14ac:dyDescent="0.2">
      <c r="A1" s="12" t="s">
        <v>1248</v>
      </c>
      <c r="B1" s="13"/>
      <c r="C1" s="13"/>
      <c r="D1" s="13"/>
      <c r="E1" s="13"/>
      <c r="F1" s="13"/>
      <c r="G1" s="13"/>
      <c r="H1" s="13"/>
      <c r="I1" s="13"/>
    </row>
    <row r="2" spans="1:11" ht="22.5" x14ac:dyDescent="0.2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</row>
    <row r="3" spans="1:11" x14ac:dyDescent="0.2">
      <c r="A3" s="1" t="s">
        <v>1242</v>
      </c>
      <c r="B3" s="2">
        <v>100896</v>
      </c>
      <c r="C3" s="2" t="s">
        <v>1243</v>
      </c>
      <c r="D3" s="3">
        <v>488672</v>
      </c>
      <c r="E3" s="3">
        <v>86006412</v>
      </c>
      <c r="F3" s="5"/>
      <c r="G3" s="5"/>
      <c r="H3" s="3">
        <f>F3*D3</f>
        <v>0</v>
      </c>
      <c r="I3" s="3">
        <f>(G3*E3)/100</f>
        <v>0</v>
      </c>
    </row>
    <row r="4" spans="1:11" x14ac:dyDescent="0.2">
      <c r="A4" s="1" t="s">
        <v>1242</v>
      </c>
      <c r="B4" s="2">
        <v>101787</v>
      </c>
      <c r="C4" s="2" t="s">
        <v>1244</v>
      </c>
      <c r="D4" s="3">
        <v>376799</v>
      </c>
      <c r="E4" s="3">
        <v>66316657</v>
      </c>
      <c r="F4" s="5"/>
      <c r="G4" s="5"/>
      <c r="H4" s="3">
        <f>F4*D4</f>
        <v>0</v>
      </c>
      <c r="I4" s="3">
        <f>(G4*E4)/100</f>
        <v>0</v>
      </c>
    </row>
    <row r="5" spans="1:11" x14ac:dyDescent="0.2">
      <c r="A5" s="1" t="s">
        <v>1242</v>
      </c>
      <c r="B5" s="2">
        <v>101053</v>
      </c>
      <c r="C5" s="2" t="s">
        <v>1245</v>
      </c>
      <c r="D5" s="3">
        <v>366674</v>
      </c>
      <c r="E5" s="3">
        <v>64534756</v>
      </c>
      <c r="F5" s="5"/>
      <c r="G5" s="5"/>
      <c r="H5" s="3">
        <f>F5*D5</f>
        <v>0</v>
      </c>
      <c r="I5" s="3">
        <f>(G5*E5)/100</f>
        <v>0</v>
      </c>
    </row>
    <row r="6" spans="1:11" ht="22.5" x14ac:dyDescent="0.6">
      <c r="H6" s="9">
        <f t="shared" ref="H6:I6" si="0">SUM(H3:H5)</f>
        <v>0</v>
      </c>
      <c r="I6" s="9">
        <f t="shared" si="0"/>
        <v>0</v>
      </c>
      <c r="J6" s="8" t="s">
        <v>1246</v>
      </c>
      <c r="K6" s="11">
        <v>110893050</v>
      </c>
    </row>
    <row r="7" spans="1:11" ht="22.5" x14ac:dyDescent="0.6">
      <c r="J7" s="8" t="s">
        <v>1247</v>
      </c>
      <c r="K7" s="11">
        <v>140957586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مسجد سلیمان</vt:lpstr>
      <vt:lpstr>شوشتر</vt:lpstr>
      <vt:lpstr>1610</vt:lpstr>
      <vt:lpstr>1611</vt:lpstr>
      <vt:lpstr>هندیجان</vt:lpstr>
      <vt:lpstr>فناوری</vt:lpstr>
      <vt:lpstr>ایذه</vt:lpstr>
      <vt:lpstr>1605</vt:lpstr>
      <vt:lpstr>دزفول</vt:lpstr>
      <vt:lpstr>خرمشهر</vt:lpstr>
      <vt:lpstr>1619</vt:lpstr>
      <vt:lpstr>1615</vt:lpstr>
      <vt:lpstr>ماهشهر</vt:lpstr>
      <vt:lpstr>حراست فیزیکی</vt:lpstr>
      <vt:lpstr>تدارکات</vt:lpstr>
      <vt:lpstr>بندرامام</vt:lpstr>
      <vt:lpstr>1607</vt:lpstr>
      <vt:lpstr>باغملک</vt:lpstr>
      <vt:lpstr>گتوند</vt:lpstr>
      <vt:lpstr>امیدیه</vt:lpstr>
      <vt:lpstr>بهبهان</vt:lpstr>
      <vt:lpstr>1601</vt:lpstr>
      <vt:lpstr>1614</vt:lpstr>
      <vt:lpstr>1618</vt:lpstr>
      <vt:lpstr>ذیحسابی</vt:lpstr>
      <vt:lpstr>1613</vt:lpstr>
      <vt:lpstr>مدیریت</vt:lpstr>
      <vt:lpstr>اموراداری</vt:lpstr>
      <vt:lpstr>بودجه</vt:lpstr>
      <vt:lpstr>1604</vt:lpstr>
      <vt:lpstr>1609</vt:lpstr>
      <vt:lpstr>رامهرمز</vt:lpstr>
      <vt:lpstr>1616</vt:lpstr>
      <vt:lpstr>شادگان</vt:lpstr>
      <vt:lpstr>1603</vt:lpstr>
      <vt:lpstr>اندیمشک</vt:lpstr>
      <vt:lpstr>1620</vt:lpstr>
      <vt:lpstr>دشت آزادگان</vt:lpstr>
      <vt:lpstr>1602</vt:lpstr>
      <vt:lpstr>آغاجاری</vt:lpstr>
      <vt:lpstr>آبادان</vt:lpstr>
      <vt:lpstr>1621</vt:lpstr>
      <vt:lpstr>1606</vt:lpstr>
      <vt:lpstr>1617</vt:lpstr>
      <vt:lpstr>هفتکل</vt:lpstr>
      <vt:lpstr>حقوقی</vt:lpstr>
      <vt:lpstr>1668</vt:lpstr>
      <vt:lpstr>هویزه</vt:lpstr>
      <vt:lpstr>1608</vt:lpstr>
      <vt:lpstr>روابط عمومی</vt:lpstr>
      <vt:lpstr>1612</vt:lpstr>
      <vt:lpstr>لالی</vt:lpstr>
      <vt:lpstr>درآمد</vt:lpstr>
      <vt:lpstr>رامشیر</vt:lpstr>
      <vt:lpstr>آموزش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cp:lastPrinted>2024-07-29T03:38:56Z</cp:lastPrinted>
  <dcterms:created xsi:type="dcterms:W3CDTF">2024-07-28T07:26:32Z</dcterms:created>
  <dcterms:modified xsi:type="dcterms:W3CDTF">2024-07-29T07:13:15Z</dcterms:modified>
</cp:coreProperties>
</file>