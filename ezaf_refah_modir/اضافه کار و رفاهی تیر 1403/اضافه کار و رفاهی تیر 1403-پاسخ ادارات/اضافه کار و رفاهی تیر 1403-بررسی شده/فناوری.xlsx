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F2D58791-7DD1-46B2-8B15-B2A24813EB61}" xr6:coauthVersionLast="47" xr6:coauthVersionMax="47" xr10:uidLastSave="{00000000-0000-0000-0000-000000000000}"/>
  <bookViews>
    <workbookView xWindow="-120" yWindow="-120" windowWidth="29040" windowHeight="15840" xr2:uid="{4D035DDC-2F5F-4FA0-9684-FE1CEC6DBA49}"/>
  </bookViews>
  <sheets>
    <sheet name="1403-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<sst xmlns="http://schemas.openxmlformats.org/spreadsheetml/2006/main" count="48" uniqueCount="30">
  <si>
    <r>
      <t xml:space="preserve">**توجه: متذکر می گردد صرفا ستون های(زرد رنگ) مربوط به ساعت اضافه کار و درصد رفاهی تکمیل گردد**
</t>
    </r>
    <r>
      <rPr>
        <sz val="10"/>
        <color rgb="FF002060"/>
        <rFont val="B Nazanin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</si>
  <si>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</si>
  <si>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</si>
  <si>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</si>
  <si>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</si>
  <si>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</si>
  <si>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</si>
  <si>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</si>
  <si>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</si>
  <si>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</si>
  <si>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فناوری</t>
  </si>
  <si>
    <t>ابوعلي مريم</t>
  </si>
  <si>
    <t>الهي مقدم عادل</t>
  </si>
  <si>
    <t>تاج ميرعالي اسماعيل</t>
  </si>
  <si>
    <t>جرک زاد زينب</t>
  </si>
  <si>
    <t>جمشيدي محسن</t>
  </si>
  <si>
    <t>حسين پور نجمه</t>
  </si>
  <si>
    <t>خادمي آيدا</t>
  </si>
  <si>
    <t>خسروي نژاد ساجد</t>
  </si>
  <si>
    <t>خسروي نگين</t>
  </si>
  <si>
    <t>خليليان مهدي</t>
  </si>
  <si>
    <t>رشيدي ابراهيم</t>
  </si>
  <si>
    <t>سنجري مسعود</t>
  </si>
  <si>
    <t>فتاحي زاده ميثم</t>
  </si>
  <si>
    <t>قاسم زاده محمد کاظم</t>
  </si>
  <si>
    <t>قائد اميني مرضيه</t>
  </si>
  <si>
    <t>کاوياني فر عليرضا</t>
  </si>
  <si>
    <t>کلاني زاده محمد</t>
  </si>
  <si>
    <t>نوربخش سحر</t>
  </si>
  <si>
    <t>نيک سرشت سجاد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</si>
</sst>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0"/>
      <color rgb="FFFF0000"/>
      <name val="B Nazanin"/>
      <charset val="178"/>
    </font>
    <font>
      <sz val="10"/>
      <color rgb="FF002060"/>
      <name val="B Nazanin"/>
      <charset val="178"/>
    </font>
    <font>
      <sz val="10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3" fontId="3" fillId="0" borderId="1" xfId="0" applyNumberFormat="1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 applyProtection="1">
      <alignment horizontal="center" vertical="center"/>
      <protection locked="0"/>
    </xf>
    <xf numFmtId="3" fontId="3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5D9F-8A6C-4537-BC10-193B778451C5}">
  <dimension ref="A1:I21"/>
  <sheetViews>
    <sheetView rightToLeft="1" tabSelected="1" workbookViewId="0">
      <selection activeCell="J6" sqref="J6"/>
    </sheetView>
  </sheetViews>
  <sheetFormatPr defaultColWidth="8.625" defaultRowHeight="15.75" x14ac:dyDescent="0.4"/>
  <cols>
    <col min="1" max="1" width="9.375" style="1" bestFit="1" customWidth="1"/>
    <col min="2" max="2" width="12.75" style="1" bestFit="1" customWidth="1"/>
    <col min="3" max="3" width="15.375" style="1" customWidth="1"/>
    <col min="4" max="4" width="12.375" style="1" bestFit="1" customWidth="1"/>
    <col min="5" max="5" width="11.25" style="1" bestFit="1" customWidth="1"/>
    <col min="6" max="6" width="8.875" style="1" customWidth="1"/>
    <col min="7" max="7" width="9" style="1" customWidth="1"/>
    <col min="8" max="8" width="12.375" style="1" customWidth="1"/>
    <col min="9" max="9" width="14" style="1" customWidth="1"/>
    <col min="10" max="16384" width="8.625" style="1"/>
  </cols>
  <sheetData>
    <row r="1" spans="1:9" ht="76.5" customHeight="1" x14ac:dyDescent="0.4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 s="6" customFormat="1" ht="31.5" x14ac:dyDescent="0.4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</row>
    <row r="3" spans="1:9" x14ac:dyDescent="0.4">
      <c r="A3" s="7" t="s">
        <v>10</v>
      </c>
      <c r="B3" s="8">
        <v>101384</v>
      </c>
      <c r="C3" s="8" t="s">
        <v>11</v>
      </c>
      <c r="D3" s="9">
        <v>349058</v>
      </c>
      <c r="E3" s="9">
        <v>61434365</v>
      </c>
      <c r="F3" s="10">
        <v>86</v>
      </c>
      <c r="G3" s="10">
        <v>67</v>
      </c>
      <c r="H3" s="9">
        <f t="shared" ref="H3:H21" si="0">F3*D3</f>
        <v>30018988</v>
      </c>
      <c r="I3" s="9">
        <f t="shared" ref="I3:I21" si="1">(G3*E3)/100</f>
        <v>41161024.549999997</v>
      </c>
    </row>
    <row r="4" spans="1:9" x14ac:dyDescent="0.4">
      <c r="A4" s="7" t="s">
        <v>10</v>
      </c>
      <c r="B4" s="8">
        <v>100729</v>
      </c>
      <c r="C4" s="8" t="s">
        <v>12</v>
      </c>
      <c r="D4" s="9">
        <v>458997</v>
      </c>
      <c r="E4" s="9">
        <v>80783490</v>
      </c>
      <c r="F4" s="10">
        <v>112</v>
      </c>
      <c r="G4" s="10">
        <v>70</v>
      </c>
      <c r="H4" s="9">
        <f t="shared" si="0"/>
        <v>51407664</v>
      </c>
      <c r="I4" s="9">
        <f t="shared" si="1"/>
        <v>56548443</v>
      </c>
    </row>
    <row r="5" spans="1:9" x14ac:dyDescent="0.4">
      <c r="A5" s="7" t="s">
        <v>10</v>
      </c>
      <c r="B5" s="8">
        <v>101457</v>
      </c>
      <c r="C5" s="8" t="s">
        <v>13</v>
      </c>
      <c r="D5" s="9">
        <v>386817</v>
      </c>
      <c r="E5" s="9">
        <v>68079858</v>
      </c>
      <c r="F5" s="10">
        <v>82</v>
      </c>
      <c r="G5" s="10">
        <v>70</v>
      </c>
      <c r="H5" s="9">
        <f t="shared" si="0"/>
        <v>31718994</v>
      </c>
      <c r="I5" s="9">
        <f t="shared" si="1"/>
        <v>47655900.600000001</v>
      </c>
    </row>
    <row r="6" spans="1:9" x14ac:dyDescent="0.4">
      <c r="A6" s="7" t="s">
        <v>10</v>
      </c>
      <c r="B6" s="8">
        <v>101958</v>
      </c>
      <c r="C6" s="8" t="s">
        <v>14</v>
      </c>
      <c r="D6" s="9">
        <v>226359</v>
      </c>
      <c r="E6" s="9">
        <v>39839250</v>
      </c>
      <c r="F6" s="10">
        <v>30</v>
      </c>
      <c r="G6" s="10">
        <v>30</v>
      </c>
      <c r="H6" s="9">
        <f t="shared" si="0"/>
        <v>6790770</v>
      </c>
      <c r="I6" s="11">
        <f t="shared" si="1"/>
        <v>11951775</v>
      </c>
    </row>
    <row r="7" spans="1:9" x14ac:dyDescent="0.4">
      <c r="A7" s="7" t="s">
        <v>10</v>
      </c>
      <c r="B7" s="8">
        <v>101368</v>
      </c>
      <c r="C7" s="8" t="s">
        <v>15</v>
      </c>
      <c r="D7" s="9">
        <v>441267</v>
      </c>
      <c r="E7" s="9">
        <v>77662997</v>
      </c>
      <c r="F7" s="10">
        <v>122</v>
      </c>
      <c r="G7" s="10">
        <v>75</v>
      </c>
      <c r="H7" s="9">
        <f t="shared" si="0"/>
        <v>53834574</v>
      </c>
      <c r="I7" s="11">
        <f t="shared" si="1"/>
        <v>58247247.75</v>
      </c>
    </row>
    <row r="8" spans="1:9" x14ac:dyDescent="0.4">
      <c r="A8" s="7" t="s">
        <v>10</v>
      </c>
      <c r="B8" s="8">
        <v>101381</v>
      </c>
      <c r="C8" s="8" t="s">
        <v>16</v>
      </c>
      <c r="D8" s="9">
        <v>427995</v>
      </c>
      <c r="E8" s="9">
        <v>75327231</v>
      </c>
      <c r="F8" s="10">
        <v>102</v>
      </c>
      <c r="G8" s="10">
        <v>67</v>
      </c>
      <c r="H8" s="9">
        <f t="shared" si="0"/>
        <v>43655490</v>
      </c>
      <c r="I8" s="9">
        <f t="shared" si="1"/>
        <v>50469244.770000003</v>
      </c>
    </row>
    <row r="9" spans="1:9" x14ac:dyDescent="0.4">
      <c r="A9" s="7" t="s">
        <v>10</v>
      </c>
      <c r="B9" s="8">
        <v>101919</v>
      </c>
      <c r="C9" s="8" t="s">
        <v>17</v>
      </c>
      <c r="D9" s="9">
        <v>226359</v>
      </c>
      <c r="E9" s="9">
        <v>39839250</v>
      </c>
      <c r="F9" s="10">
        <v>30</v>
      </c>
      <c r="G9" s="10">
        <v>31</v>
      </c>
      <c r="H9" s="9">
        <f t="shared" si="0"/>
        <v>6790770</v>
      </c>
      <c r="I9" s="9">
        <f t="shared" si="1"/>
        <v>12350167.5</v>
      </c>
    </row>
    <row r="10" spans="1:9" x14ac:dyDescent="0.4">
      <c r="A10" s="7" t="s">
        <v>10</v>
      </c>
      <c r="B10" s="8">
        <v>101451</v>
      </c>
      <c r="C10" s="8" t="s">
        <v>18</v>
      </c>
      <c r="D10" s="9">
        <v>392354</v>
      </c>
      <c r="E10" s="9">
        <v>69054360</v>
      </c>
      <c r="F10" s="10">
        <v>75</v>
      </c>
      <c r="G10" s="10">
        <v>70</v>
      </c>
      <c r="H10" s="9">
        <f t="shared" si="0"/>
        <v>29426550</v>
      </c>
      <c r="I10" s="9">
        <f t="shared" si="1"/>
        <v>48338052</v>
      </c>
    </row>
    <row r="11" spans="1:9" x14ac:dyDescent="0.4">
      <c r="A11" s="7" t="s">
        <v>10</v>
      </c>
      <c r="B11" s="8">
        <v>101362</v>
      </c>
      <c r="C11" s="8" t="s">
        <v>19</v>
      </c>
      <c r="D11" s="9">
        <v>349835</v>
      </c>
      <c r="E11" s="9">
        <v>61571119</v>
      </c>
      <c r="F11" s="10">
        <v>83</v>
      </c>
      <c r="G11" s="10">
        <v>69</v>
      </c>
      <c r="H11" s="9">
        <f t="shared" si="0"/>
        <v>29036305</v>
      </c>
      <c r="I11" s="9">
        <f t="shared" si="1"/>
        <v>42484072.109999999</v>
      </c>
    </row>
    <row r="12" spans="1:9" x14ac:dyDescent="0.4">
      <c r="A12" s="7" t="s">
        <v>10</v>
      </c>
      <c r="B12" s="8">
        <v>100868</v>
      </c>
      <c r="C12" s="8" t="s">
        <v>20</v>
      </c>
      <c r="D12" s="9">
        <v>471008</v>
      </c>
      <c r="E12" s="9">
        <v>82897574</v>
      </c>
      <c r="F12" s="10">
        <v>112</v>
      </c>
      <c r="G12" s="10">
        <v>70</v>
      </c>
      <c r="H12" s="9">
        <f t="shared" si="0"/>
        <v>52752896</v>
      </c>
      <c r="I12" s="9">
        <f t="shared" si="1"/>
        <v>58028301.799999997</v>
      </c>
    </row>
    <row r="13" spans="1:9" x14ac:dyDescent="0.4">
      <c r="A13" s="7" t="s">
        <v>10</v>
      </c>
      <c r="B13" s="8">
        <v>101552</v>
      </c>
      <c r="C13" s="8" t="s">
        <v>21</v>
      </c>
      <c r="D13" s="9">
        <v>320770</v>
      </c>
      <c r="E13" s="9">
        <v>56455666</v>
      </c>
      <c r="F13" s="10">
        <v>95</v>
      </c>
      <c r="G13" s="10">
        <v>70</v>
      </c>
      <c r="H13" s="9">
        <f t="shared" si="0"/>
        <v>30473150</v>
      </c>
      <c r="I13" s="9">
        <f t="shared" si="1"/>
        <v>39518966.200000003</v>
      </c>
    </row>
    <row r="14" spans="1:9" x14ac:dyDescent="0.4">
      <c r="A14" s="7" t="s">
        <v>10</v>
      </c>
      <c r="B14" s="8">
        <v>100976</v>
      </c>
      <c r="C14" s="8" t="s">
        <v>22</v>
      </c>
      <c r="D14" s="9">
        <v>351005</v>
      </c>
      <c r="E14" s="9">
        <v>61776985</v>
      </c>
      <c r="F14" s="10">
        <v>90</v>
      </c>
      <c r="G14" s="10">
        <v>65</v>
      </c>
      <c r="H14" s="9">
        <f t="shared" si="0"/>
        <v>31590450</v>
      </c>
      <c r="I14" s="9">
        <f t="shared" si="1"/>
        <v>40155040.25</v>
      </c>
    </row>
    <row r="15" spans="1:9" x14ac:dyDescent="0.4">
      <c r="A15" s="7" t="s">
        <v>10</v>
      </c>
      <c r="B15" s="8">
        <v>101355</v>
      </c>
      <c r="C15" s="8" t="s">
        <v>23</v>
      </c>
      <c r="D15" s="9">
        <v>351649</v>
      </c>
      <c r="E15" s="9">
        <v>61890347</v>
      </c>
      <c r="F15" s="10">
        <v>112</v>
      </c>
      <c r="G15" s="10">
        <v>70</v>
      </c>
      <c r="H15" s="9">
        <f t="shared" si="0"/>
        <v>39384688</v>
      </c>
      <c r="I15" s="9">
        <f t="shared" si="1"/>
        <v>43323242.899999999</v>
      </c>
    </row>
    <row r="16" spans="1:9" x14ac:dyDescent="0.4">
      <c r="A16" s="7" t="s">
        <v>10</v>
      </c>
      <c r="B16" s="8">
        <v>101126</v>
      </c>
      <c r="C16" s="8" t="s">
        <v>24</v>
      </c>
      <c r="D16" s="9">
        <v>434312</v>
      </c>
      <c r="E16" s="9">
        <v>76439001</v>
      </c>
      <c r="F16" s="10">
        <v>92</v>
      </c>
      <c r="G16" s="10">
        <v>70</v>
      </c>
      <c r="H16" s="9">
        <f t="shared" si="0"/>
        <v>39956704</v>
      </c>
      <c r="I16" s="9">
        <f t="shared" si="1"/>
        <v>53507300.700000003</v>
      </c>
    </row>
    <row r="17" spans="1:9" x14ac:dyDescent="0.4">
      <c r="A17" s="7" t="s">
        <v>10</v>
      </c>
      <c r="B17" s="8">
        <v>101132</v>
      </c>
      <c r="C17" s="8" t="s">
        <v>25</v>
      </c>
      <c r="D17" s="9">
        <v>474628</v>
      </c>
      <c r="E17" s="9">
        <v>83534596</v>
      </c>
      <c r="F17" s="10">
        <v>112</v>
      </c>
      <c r="G17" s="10">
        <v>75</v>
      </c>
      <c r="H17" s="9">
        <f t="shared" si="0"/>
        <v>53158336</v>
      </c>
      <c r="I17" s="9">
        <f t="shared" si="1"/>
        <v>62650947</v>
      </c>
    </row>
    <row r="18" spans="1:9" x14ac:dyDescent="0.4">
      <c r="A18" s="7" t="s">
        <v>10</v>
      </c>
      <c r="B18" s="8">
        <v>101484</v>
      </c>
      <c r="C18" s="8" t="s">
        <v>26</v>
      </c>
      <c r="D18" s="9">
        <v>422453</v>
      </c>
      <c r="E18" s="9">
        <v>74351773</v>
      </c>
      <c r="F18" s="10">
        <v>95</v>
      </c>
      <c r="G18" s="10">
        <v>72</v>
      </c>
      <c r="H18" s="9">
        <f t="shared" si="0"/>
        <v>40133035</v>
      </c>
      <c r="I18" s="9">
        <f t="shared" si="1"/>
        <v>53533276.560000002</v>
      </c>
    </row>
    <row r="19" spans="1:9" x14ac:dyDescent="0.4">
      <c r="A19" s="7" t="s">
        <v>10</v>
      </c>
      <c r="B19" s="8">
        <v>101030</v>
      </c>
      <c r="C19" s="8" t="s">
        <v>27</v>
      </c>
      <c r="D19" s="9">
        <v>344368</v>
      </c>
      <c r="E19" s="9">
        <v>60608779</v>
      </c>
      <c r="F19" s="10">
        <v>85</v>
      </c>
      <c r="G19" s="10">
        <v>70</v>
      </c>
      <c r="H19" s="9">
        <f t="shared" si="0"/>
        <v>29271280</v>
      </c>
      <c r="I19" s="9">
        <f t="shared" si="1"/>
        <v>42426145.299999997</v>
      </c>
    </row>
    <row r="20" spans="1:9" x14ac:dyDescent="0.4">
      <c r="A20" s="7" t="s">
        <v>10</v>
      </c>
      <c r="B20" s="8">
        <v>101455</v>
      </c>
      <c r="C20" s="8" t="s">
        <v>28</v>
      </c>
      <c r="D20" s="9">
        <v>349300</v>
      </c>
      <c r="E20" s="9">
        <v>61476834</v>
      </c>
      <c r="F20" s="10">
        <v>85</v>
      </c>
      <c r="G20" s="10">
        <v>65</v>
      </c>
      <c r="H20" s="9">
        <f t="shared" si="0"/>
        <v>29690500</v>
      </c>
      <c r="I20" s="9">
        <f t="shared" si="1"/>
        <v>39959942.100000001</v>
      </c>
    </row>
    <row r="21" spans="1:9" x14ac:dyDescent="0.4">
      <c r="A21" s="7" t="s">
        <v>10</v>
      </c>
      <c r="B21" s="8">
        <v>101485</v>
      </c>
      <c r="C21" s="8" t="s">
        <v>29</v>
      </c>
      <c r="D21" s="9">
        <v>422919</v>
      </c>
      <c r="E21" s="9">
        <v>74433866</v>
      </c>
      <c r="F21" s="10">
        <v>130</v>
      </c>
      <c r="G21" s="10">
        <v>80</v>
      </c>
      <c r="H21" s="9">
        <f t="shared" si="0"/>
        <v>54979470</v>
      </c>
      <c r="I21" s="9">
        <f t="shared" si="1"/>
        <v>59547092.799999997</v>
      </c>
    </row>
  </sheetData>
  <mergeCells count="1">
    <mergeCell ref="A1:I1"/>
  </mergeCells>
  <printOptions horizontalCentered="1"/>
  <pageMargins left="0" right="0" top="0.74803149606299213" bottom="0" header="0.31496062992125984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1403-04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فرزاد عزیزی</dc:creator>
  <cp:lastModifiedBy>محمد رضا هوشمند</cp:lastModifiedBy>
  <dcterms:created xsi:type="dcterms:W3CDTF">2024-07-29T13:17:46Z</dcterms:created>
  <dcterms:modified xsi:type="dcterms:W3CDTF">2024-07-29T14:49:38Z</dcterms:modified>
</cp:coreProperties>
</file>