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750890518\Desktop\اضافه کار و رفاهی تیر 1403\اضافه کار و رفاهی تیر 1403-پاسخ ادارات\بررسی شده\"/>
    </mc:Choice>
  </mc:AlternateContent>
  <xr:revisionPtr revIDLastSave="0" documentId="13_ncr:1_{1C8A740D-8526-460E-9C18-02900732B8C7}" xr6:coauthVersionLast="47" xr6:coauthVersionMax="47" xr10:uidLastSave="{00000000-0000-0000-0000-000000000000}"/>
  <bookViews>
    <workbookView xWindow="-120" yWindow="-120" windowWidth="29040" windowHeight="15840" xr2:uid="{4D8A0CA5-D8AD-4BF5-8ABD-6E0A5F797AD9}"/>
  </bookViews>
  <sheets>
    <sheet name="آغاجاری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7" i="1" l="1"/>
  <c r="I10" i="1"/>
  <c r="I11" i="1"/>
  <c r="I3" i="1"/>
  <c r="I9" i="1"/>
  <c r="H8" i="1"/>
  <c r="H11" i="1"/>
  <c r="H12" i="1"/>
  <c r="H3" i="1"/>
  <c r="H4" i="1"/>
  <c r="H6" i="1"/>
  <c r="H5" i="1"/>
  <c r="H7" i="1"/>
  <c r="H9" i="1"/>
  <c r="H13" i="1"/>
  <c r="I13" i="1"/>
  <c r="I12" i="1"/>
  <c r="H10" i="1"/>
  <c r="I8" i="1"/>
  <c r="I6" i="1"/>
  <c r="I5" i="1"/>
  <c r="I4" i="1"/>
</calcChain>
</file>

<file path=xl/sharedStrings.xml><?xml version="1.0" encoding="utf-8"?>
<sst xmlns="http://schemas.openxmlformats.org/spreadsheetml/2006/main" count="32" uniqueCount="22">
  <si>
    <r>
      <t xml:space="preserve">**توجه: متذکر می گردد صرفا ستون های(زرد رنگ) مربوط به ساعت اضافه کار و درصد رفاهی تکمیل گردد**
</t>
    </r>
    <r>
      <rPr>
        <sz val="11"/>
        <color rgb="FF002060"/>
        <rFont val="B Titr"/>
        <charset val="178"/>
      </rPr>
      <t>سقف اضافه کار همکاران قراردادی مشاغل کارگری حداکثر 120 ساعت می باشد
ساعت اضافه کار و ضریب رفاهی بین 0 تا  29 ، صفر محاسبه می گردد</t>
    </r>
  </si>
  <si>
    <t>اداره</t>
  </si>
  <si>
    <t>شماره کارمند</t>
  </si>
  <si>
    <t>نام کارمند</t>
  </si>
  <si>
    <t>نرخ اضافه کار تیر1403</t>
  </si>
  <si>
    <t>نرخ رفاهی تیر 1403</t>
  </si>
  <si>
    <t>**ساعت اضافه کار**</t>
  </si>
  <si>
    <t>**درصد رفاهی**</t>
  </si>
  <si>
    <t>مبلغ اضافه کار تیر</t>
  </si>
  <si>
    <t>مبلغ رفاهی تیر</t>
  </si>
  <si>
    <t>آغاجاری</t>
  </si>
  <si>
    <t>آذرپور امين</t>
  </si>
  <si>
    <t>باقري جعفر</t>
  </si>
  <si>
    <t>بهمئي حميد</t>
  </si>
  <si>
    <t>پرواز سيد مجيد</t>
  </si>
  <si>
    <t>شيرعلي آرش</t>
  </si>
  <si>
    <t>صفائي اصل بهرام</t>
  </si>
  <si>
    <t>صفائي اصل علي</t>
  </si>
  <si>
    <t>طيب اصغر</t>
  </si>
  <si>
    <t>عزتي احسان</t>
  </si>
  <si>
    <t>مجيدي ده مراد کمال</t>
  </si>
  <si>
    <t>مرتضوي مهر سيدعلي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</si>
</sst>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8"/>
      <scheme val="minor"/>
    </font>
    <font>
      <sz val="11"/>
      <color rgb="FFFF0000"/>
      <name val="B Titr"/>
      <charset val="178"/>
    </font>
    <font>
      <sz val="11"/>
      <color rgb="FF002060"/>
      <name val="B Titr"/>
      <charset val="178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3" fontId="0" fillId="0" borderId="1" xfId="0" applyNumberFormat="1" applyBorder="1" applyAlignment="1">
      <alignment horizontal="center" vertical="center"/>
    </xf>
    <xf numFmtId="3" fontId="1" fillId="2" borderId="1" xfId="0" applyNumberFormat="1" applyFont="1" applyFill="1" applyBorder="1" applyAlignment="1" applyProtection="1">
      <alignment horizontal="center" vertical="center"/>
      <protection locked="0"/>
    </xf>
    <xf numFmtId="3" fontId="0" fillId="2" borderId="1" xfId="0" applyNumberFormat="1" applyFill="1" applyBorder="1" applyAlignment="1" applyProtection="1">
      <alignment horizontal="center" vertical="center"/>
      <protection locked="0"/>
    </xf>
    <xf numFmtId="3" fontId="0" fillId="0" borderId="2" xfId="0" applyNumberForma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F85A8-24BC-427D-B57B-6B57CB05BD62}">
  <dimension ref="A1:I13"/>
  <sheetViews>
    <sheetView rightToLeft="1" tabSelected="1" workbookViewId="0">
      <selection activeCell="E8" sqref="E8"/>
    </sheetView>
  </sheetViews>
  <sheetFormatPr defaultRowHeight="14.25" x14ac:dyDescent="0.2"/>
  <cols>
    <col min="1" max="1" width="9.375" bestFit="1" customWidth="1"/>
    <col min="2" max="2" width="12.75" bestFit="1" customWidth="1"/>
    <col min="3" max="3" width="19.5" bestFit="1" customWidth="1"/>
    <col min="4" max="4" width="16.25" customWidth="1"/>
    <col min="5" max="5" width="18.5" bestFit="1" customWidth="1"/>
    <col min="6" max="7" width="18.5" customWidth="1"/>
    <col min="8" max="8" width="12.375" customWidth="1"/>
    <col min="9" max="9" width="14" customWidth="1"/>
  </cols>
  <sheetData>
    <row r="1" spans="1:9" ht="76.5" customHeight="1" x14ac:dyDescent="0.2">
      <c r="A1" s="7" t="s">
        <v>0</v>
      </c>
      <c r="B1" s="8"/>
      <c r="C1" s="8"/>
      <c r="D1" s="8"/>
      <c r="E1" s="8"/>
      <c r="F1" s="8"/>
      <c r="G1" s="8"/>
      <c r="H1" s="8"/>
      <c r="I1" s="8"/>
    </row>
    <row r="2" spans="1:9" ht="22.5" x14ac:dyDescent="0.2">
      <c r="A2" s="1" t="s">
        <v>1</v>
      </c>
      <c r="B2" s="2" t="s">
        <v>2</v>
      </c>
      <c r="C2" s="2" t="s">
        <v>3</v>
      </c>
      <c r="D2" s="3" t="s">
        <v>4</v>
      </c>
      <c r="E2" s="3" t="s">
        <v>5</v>
      </c>
      <c r="F2" s="4" t="s">
        <v>6</v>
      </c>
      <c r="G2" s="4" t="s">
        <v>7</v>
      </c>
      <c r="H2" s="3" t="s">
        <v>8</v>
      </c>
      <c r="I2" s="3" t="s">
        <v>9</v>
      </c>
    </row>
    <row r="3" spans="1:9" x14ac:dyDescent="0.2">
      <c r="A3" s="1" t="s">
        <v>10</v>
      </c>
      <c r="B3" s="2">
        <v>101214</v>
      </c>
      <c r="C3" s="2" t="s">
        <v>11</v>
      </c>
      <c r="D3" s="3">
        <v>390504</v>
      </c>
      <c r="E3" s="3">
        <v>68728725</v>
      </c>
      <c r="F3" s="5">
        <v>120</v>
      </c>
      <c r="G3" s="5">
        <v>73</v>
      </c>
      <c r="H3" s="3">
        <f>F3*D3</f>
        <v>46860480</v>
      </c>
      <c r="I3" s="3">
        <f>(G3*E3)/100</f>
        <v>50171969.25</v>
      </c>
    </row>
    <row r="4" spans="1:9" x14ac:dyDescent="0.2">
      <c r="A4" s="1" t="s">
        <v>10</v>
      </c>
      <c r="B4" s="2">
        <v>101772</v>
      </c>
      <c r="C4" s="2" t="s">
        <v>12</v>
      </c>
      <c r="D4" s="3">
        <v>262988</v>
      </c>
      <c r="E4" s="3">
        <v>46285965</v>
      </c>
      <c r="F4" s="5">
        <v>46</v>
      </c>
      <c r="G4" s="5">
        <v>41</v>
      </c>
      <c r="H4" s="3">
        <f>F4*D4</f>
        <v>12097448</v>
      </c>
      <c r="I4" s="3">
        <f>(G4*E4)/100</f>
        <v>18977245.649999999</v>
      </c>
    </row>
    <row r="5" spans="1:9" x14ac:dyDescent="0.2">
      <c r="A5" s="1" t="s">
        <v>10</v>
      </c>
      <c r="B5" s="2">
        <v>100926</v>
      </c>
      <c r="C5" s="2" t="s">
        <v>13</v>
      </c>
      <c r="D5" s="3">
        <v>189648</v>
      </c>
      <c r="E5" s="3">
        <v>33378048</v>
      </c>
      <c r="F5" s="5">
        <v>106</v>
      </c>
      <c r="G5" s="5">
        <v>73</v>
      </c>
      <c r="H5" s="3">
        <f>F5*D5</f>
        <v>20102688</v>
      </c>
      <c r="I5" s="3">
        <f>(G5*E5)/100</f>
        <v>24365975.039999999</v>
      </c>
    </row>
    <row r="6" spans="1:9" x14ac:dyDescent="0.2">
      <c r="A6" s="1" t="s">
        <v>10</v>
      </c>
      <c r="B6" s="2">
        <v>101164</v>
      </c>
      <c r="C6" s="2" t="s">
        <v>14</v>
      </c>
      <c r="D6" s="3">
        <v>425631</v>
      </c>
      <c r="E6" s="3">
        <v>74911220</v>
      </c>
      <c r="F6" s="5">
        <v>111</v>
      </c>
      <c r="G6" s="5">
        <v>73</v>
      </c>
      <c r="H6" s="3">
        <f>F6*D6</f>
        <v>47245041</v>
      </c>
      <c r="I6" s="6">
        <f>(G6*E6)/100</f>
        <v>54685190.600000001</v>
      </c>
    </row>
    <row r="7" spans="1:9" x14ac:dyDescent="0.2">
      <c r="A7" s="1" t="s">
        <v>10</v>
      </c>
      <c r="B7" s="2">
        <v>101870</v>
      </c>
      <c r="C7" s="2" t="s">
        <v>15</v>
      </c>
      <c r="D7" s="3">
        <v>244879</v>
      </c>
      <c r="E7" s="3">
        <v>43098825</v>
      </c>
      <c r="F7" s="5">
        <v>46</v>
      </c>
      <c r="G7" s="5">
        <v>41</v>
      </c>
      <c r="H7" s="3">
        <f>F7*D7</f>
        <v>11264434</v>
      </c>
      <c r="I7" s="6">
        <f>(G7*E7)/100</f>
        <v>17670518.25</v>
      </c>
    </row>
    <row r="8" spans="1:9" x14ac:dyDescent="0.2">
      <c r="A8" s="1" t="s">
        <v>10</v>
      </c>
      <c r="B8" s="2">
        <v>100550</v>
      </c>
      <c r="C8" s="2" t="s">
        <v>16</v>
      </c>
      <c r="D8" s="3">
        <v>503966</v>
      </c>
      <c r="E8" s="3">
        <v>88698031</v>
      </c>
      <c r="F8" s="5">
        <v>143</v>
      </c>
      <c r="G8" s="5">
        <v>76</v>
      </c>
      <c r="H8" s="3">
        <f>F8*D8</f>
        <v>72067138</v>
      </c>
      <c r="I8" s="3">
        <f>(G8*E8)/100</f>
        <v>67410503.560000002</v>
      </c>
    </row>
    <row r="9" spans="1:9" x14ac:dyDescent="0.2">
      <c r="A9" s="1" t="s">
        <v>10</v>
      </c>
      <c r="B9" s="2">
        <v>101785</v>
      </c>
      <c r="C9" s="2" t="s">
        <v>17</v>
      </c>
      <c r="D9" s="3">
        <v>346798</v>
      </c>
      <c r="E9" s="3">
        <v>61036564</v>
      </c>
      <c r="F9" s="5">
        <v>106</v>
      </c>
      <c r="G9" s="5">
        <v>68</v>
      </c>
      <c r="H9" s="3">
        <f>F9*D9</f>
        <v>36760588</v>
      </c>
      <c r="I9" s="3">
        <f>(G9*E9)/100</f>
        <v>41504863.520000003</v>
      </c>
    </row>
    <row r="10" spans="1:9" x14ac:dyDescent="0.2">
      <c r="A10" s="1" t="s">
        <v>10</v>
      </c>
      <c r="B10" s="2">
        <v>100823</v>
      </c>
      <c r="C10" s="2" t="s">
        <v>18</v>
      </c>
      <c r="D10" s="3">
        <v>543975</v>
      </c>
      <c r="E10" s="3">
        <v>95739754</v>
      </c>
      <c r="F10" s="5">
        <v>101</v>
      </c>
      <c r="G10" s="5">
        <v>71</v>
      </c>
      <c r="H10" s="3">
        <f>F10*D10</f>
        <v>54941475</v>
      </c>
      <c r="I10" s="3">
        <f>(G10*E10)/100</f>
        <v>67975225.340000004</v>
      </c>
    </row>
    <row r="11" spans="1:9" x14ac:dyDescent="0.2">
      <c r="A11" s="1" t="s">
        <v>10</v>
      </c>
      <c r="B11" s="2">
        <v>101195</v>
      </c>
      <c r="C11" s="2" t="s">
        <v>19</v>
      </c>
      <c r="D11" s="3">
        <v>424756</v>
      </c>
      <c r="E11" s="3">
        <v>74757206</v>
      </c>
      <c r="F11" s="5">
        <v>106</v>
      </c>
      <c r="G11" s="5">
        <v>70</v>
      </c>
      <c r="H11" s="3">
        <f>F11*D11</f>
        <v>45024136</v>
      </c>
      <c r="I11" s="3">
        <f>(G11*E11)/100</f>
        <v>52330044.200000003</v>
      </c>
    </row>
    <row r="12" spans="1:9" x14ac:dyDescent="0.2">
      <c r="A12" s="1" t="s">
        <v>10</v>
      </c>
      <c r="B12" s="2">
        <v>101784</v>
      </c>
      <c r="C12" s="2" t="s">
        <v>20</v>
      </c>
      <c r="D12" s="3">
        <v>239694</v>
      </c>
      <c r="E12" s="3">
        <v>42186144</v>
      </c>
      <c r="F12" s="5">
        <v>106</v>
      </c>
      <c r="G12" s="5">
        <v>68</v>
      </c>
      <c r="H12" s="3">
        <f>F12*D12</f>
        <v>25407564</v>
      </c>
      <c r="I12" s="3">
        <f>(G12*E12)/100</f>
        <v>28686577.920000002</v>
      </c>
    </row>
    <row r="13" spans="1:9" x14ac:dyDescent="0.2">
      <c r="A13" s="1" t="s">
        <v>10</v>
      </c>
      <c r="B13" s="2">
        <v>101179</v>
      </c>
      <c r="C13" s="2" t="s">
        <v>21</v>
      </c>
      <c r="D13" s="3">
        <v>424674</v>
      </c>
      <c r="E13" s="3">
        <v>74742719</v>
      </c>
      <c r="F13" s="5">
        <v>111</v>
      </c>
      <c r="G13" s="5">
        <v>73</v>
      </c>
      <c r="H13" s="3">
        <f>F13*D13</f>
        <v>47138814</v>
      </c>
      <c r="I13" s="3">
        <f>(G13*E13)/100</f>
        <v>54562184.869999997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آغاجاری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محمد رضا هوشمند</dc:creator>
  <cp:lastModifiedBy>محمد رضا هوشمند</cp:lastModifiedBy>
  <dcterms:created xsi:type="dcterms:W3CDTF">2024-07-29T07:18:18Z</dcterms:created>
  <dcterms:modified xsi:type="dcterms:W3CDTF">2024-07-30T06:19:16Z</dcterms:modified>
</cp:coreProperties>
</file>